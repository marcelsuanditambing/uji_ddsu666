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rcel\Kuliah S2 Smart X ITB\4. Semester 4\Deeptech Hackathon AISX\"/>
    </mc:Choice>
  </mc:AlternateContent>
  <xr:revisionPtr revIDLastSave="0" documentId="13_ncr:1_{C6557B39-FB25-488C-B471-532EC767C7C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ftar Belanja" sheetId="1" r:id="rId1"/>
    <sheet name="Tahap 1" sheetId="2" r:id="rId2"/>
    <sheet name="Tahap 2" sheetId="3" r:id="rId3"/>
    <sheet name="Tahap 3" sheetId="4" r:id="rId4"/>
    <sheet name="Ringkasan" sheetId="5" r:id="rId5"/>
    <sheet name="Cek Sebelum Beli" sheetId="6" r:id="rId6"/>
  </sheets>
  <definedNames>
    <definedName name="_xlnm._FilterDatabase" localSheetId="0" hidden="1">'Daftar Belanja'!$A$4:$S$41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1" l="1"/>
  <c r="K7" i="4"/>
  <c r="K8" i="4"/>
  <c r="K9" i="4"/>
  <c r="K10" i="4"/>
  <c r="K11" i="4"/>
  <c r="K12" i="4"/>
  <c r="K13" i="4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21" i="2" s="1"/>
  <c r="B30" i="5"/>
  <c r="B29" i="5"/>
  <c r="B28" i="5"/>
  <c r="B31" i="5" s="1"/>
  <c r="B22" i="5"/>
  <c r="B21" i="5"/>
  <c r="B20" i="5"/>
  <c r="B19" i="5"/>
  <c r="B16" i="5"/>
  <c r="B15" i="5"/>
  <c r="B14" i="5"/>
  <c r="B13" i="5"/>
  <c r="B9" i="5"/>
  <c r="B8" i="5"/>
  <c r="B7" i="5"/>
  <c r="B6" i="5"/>
  <c r="B5" i="5"/>
  <c r="B10" i="5" s="1"/>
  <c r="P13" i="4"/>
  <c r="L13" i="4"/>
  <c r="H13" i="4"/>
  <c r="G13" i="4"/>
  <c r="F13" i="4"/>
  <c r="E13" i="4"/>
  <c r="D13" i="4"/>
  <c r="C13" i="4"/>
  <c r="P12" i="4"/>
  <c r="L12" i="4"/>
  <c r="H12" i="4"/>
  <c r="G12" i="4"/>
  <c r="F12" i="4"/>
  <c r="E12" i="4"/>
  <c r="D12" i="4"/>
  <c r="C12" i="4"/>
  <c r="P11" i="4"/>
  <c r="L11" i="4"/>
  <c r="H11" i="4"/>
  <c r="G11" i="4"/>
  <c r="F11" i="4"/>
  <c r="E11" i="4"/>
  <c r="D11" i="4"/>
  <c r="C11" i="4"/>
  <c r="P10" i="4"/>
  <c r="L10" i="4"/>
  <c r="H10" i="4"/>
  <c r="G10" i="4"/>
  <c r="F10" i="4"/>
  <c r="E10" i="4"/>
  <c r="D10" i="4"/>
  <c r="C10" i="4"/>
  <c r="P9" i="4"/>
  <c r="L9" i="4"/>
  <c r="H9" i="4"/>
  <c r="G9" i="4"/>
  <c r="F9" i="4"/>
  <c r="E9" i="4"/>
  <c r="D9" i="4"/>
  <c r="C9" i="4"/>
  <c r="P8" i="4"/>
  <c r="L8" i="4"/>
  <c r="H8" i="4"/>
  <c r="G8" i="4"/>
  <c r="F8" i="4"/>
  <c r="E8" i="4"/>
  <c r="D8" i="4"/>
  <c r="C8" i="4"/>
  <c r="P7" i="4"/>
  <c r="L7" i="4"/>
  <c r="H7" i="4"/>
  <c r="G7" i="4"/>
  <c r="F7" i="4"/>
  <c r="E7" i="4"/>
  <c r="D7" i="4"/>
  <c r="C7" i="4"/>
  <c r="P21" i="3"/>
  <c r="L21" i="3"/>
  <c r="H21" i="3"/>
  <c r="G21" i="3"/>
  <c r="F21" i="3"/>
  <c r="E21" i="3"/>
  <c r="D21" i="3"/>
  <c r="C21" i="3"/>
  <c r="P20" i="3"/>
  <c r="L20" i="3"/>
  <c r="H20" i="3"/>
  <c r="G20" i="3"/>
  <c r="F20" i="3"/>
  <c r="E20" i="3"/>
  <c r="D20" i="3"/>
  <c r="C20" i="3"/>
  <c r="P19" i="3"/>
  <c r="L19" i="3"/>
  <c r="H19" i="3"/>
  <c r="G19" i="3"/>
  <c r="F19" i="3"/>
  <c r="E19" i="3"/>
  <c r="D19" i="3"/>
  <c r="C19" i="3"/>
  <c r="P18" i="3"/>
  <c r="L18" i="3"/>
  <c r="H18" i="3"/>
  <c r="G18" i="3"/>
  <c r="F18" i="3"/>
  <c r="E18" i="3"/>
  <c r="D18" i="3"/>
  <c r="C18" i="3"/>
  <c r="P17" i="3"/>
  <c r="L17" i="3"/>
  <c r="H17" i="3"/>
  <c r="G17" i="3"/>
  <c r="F17" i="3"/>
  <c r="E17" i="3"/>
  <c r="D17" i="3"/>
  <c r="C17" i="3"/>
  <c r="P16" i="3"/>
  <c r="L16" i="3"/>
  <c r="H16" i="3"/>
  <c r="G16" i="3"/>
  <c r="F16" i="3"/>
  <c r="E16" i="3"/>
  <c r="D16" i="3"/>
  <c r="C16" i="3"/>
  <c r="P15" i="3"/>
  <c r="L15" i="3"/>
  <c r="H15" i="3"/>
  <c r="G15" i="3"/>
  <c r="F15" i="3"/>
  <c r="E15" i="3"/>
  <c r="D15" i="3"/>
  <c r="C15" i="3"/>
  <c r="P14" i="3"/>
  <c r="L14" i="3"/>
  <c r="H14" i="3"/>
  <c r="G14" i="3"/>
  <c r="F14" i="3"/>
  <c r="E14" i="3"/>
  <c r="D14" i="3"/>
  <c r="C14" i="3"/>
  <c r="P13" i="3"/>
  <c r="L13" i="3"/>
  <c r="H13" i="3"/>
  <c r="G13" i="3"/>
  <c r="F13" i="3"/>
  <c r="E13" i="3"/>
  <c r="D13" i="3"/>
  <c r="C13" i="3"/>
  <c r="P12" i="3"/>
  <c r="L12" i="3"/>
  <c r="H12" i="3"/>
  <c r="G12" i="3"/>
  <c r="F12" i="3"/>
  <c r="E12" i="3"/>
  <c r="D12" i="3"/>
  <c r="C12" i="3"/>
  <c r="P11" i="3"/>
  <c r="L11" i="3"/>
  <c r="H11" i="3"/>
  <c r="G11" i="3"/>
  <c r="F11" i="3"/>
  <c r="E11" i="3"/>
  <c r="D11" i="3"/>
  <c r="C11" i="3"/>
  <c r="P10" i="3"/>
  <c r="L10" i="3"/>
  <c r="H10" i="3"/>
  <c r="G10" i="3"/>
  <c r="F10" i="3"/>
  <c r="E10" i="3"/>
  <c r="D10" i="3"/>
  <c r="C10" i="3"/>
  <c r="P9" i="3"/>
  <c r="L9" i="3"/>
  <c r="H9" i="3"/>
  <c r="G9" i="3"/>
  <c r="F9" i="3"/>
  <c r="E9" i="3"/>
  <c r="D9" i="3"/>
  <c r="C9" i="3"/>
  <c r="P8" i="3"/>
  <c r="L8" i="3"/>
  <c r="H8" i="3"/>
  <c r="G8" i="3"/>
  <c r="F8" i="3"/>
  <c r="E8" i="3"/>
  <c r="D8" i="3"/>
  <c r="C8" i="3"/>
  <c r="P7" i="3"/>
  <c r="L7" i="3"/>
  <c r="H7" i="3"/>
  <c r="G7" i="3"/>
  <c r="F7" i="3"/>
  <c r="E7" i="3"/>
  <c r="D7" i="3"/>
  <c r="C7" i="3"/>
  <c r="P20" i="2"/>
  <c r="L20" i="2"/>
  <c r="H20" i="2"/>
  <c r="G20" i="2"/>
  <c r="F20" i="2"/>
  <c r="E20" i="2"/>
  <c r="D20" i="2"/>
  <c r="C20" i="2"/>
  <c r="P19" i="2"/>
  <c r="L19" i="2"/>
  <c r="H19" i="2"/>
  <c r="G19" i="2"/>
  <c r="F19" i="2"/>
  <c r="E19" i="2"/>
  <c r="D19" i="2"/>
  <c r="C19" i="2"/>
  <c r="P18" i="2"/>
  <c r="L18" i="2"/>
  <c r="H18" i="2"/>
  <c r="G18" i="2"/>
  <c r="F18" i="2"/>
  <c r="E18" i="2"/>
  <c r="D18" i="2"/>
  <c r="C18" i="2"/>
  <c r="P17" i="2"/>
  <c r="L17" i="2"/>
  <c r="H17" i="2"/>
  <c r="G17" i="2"/>
  <c r="F17" i="2"/>
  <c r="E17" i="2"/>
  <c r="D17" i="2"/>
  <c r="C17" i="2"/>
  <c r="P16" i="2"/>
  <c r="L16" i="2"/>
  <c r="H16" i="2"/>
  <c r="G16" i="2"/>
  <c r="F16" i="2"/>
  <c r="E16" i="2"/>
  <c r="D16" i="2"/>
  <c r="C16" i="2"/>
  <c r="P15" i="2"/>
  <c r="L15" i="2"/>
  <c r="H15" i="2"/>
  <c r="G15" i="2"/>
  <c r="F15" i="2"/>
  <c r="E15" i="2"/>
  <c r="D15" i="2"/>
  <c r="C15" i="2"/>
  <c r="P14" i="2"/>
  <c r="L14" i="2"/>
  <c r="H14" i="2"/>
  <c r="G14" i="2"/>
  <c r="F14" i="2"/>
  <c r="E14" i="2"/>
  <c r="D14" i="2"/>
  <c r="C14" i="2"/>
  <c r="P13" i="2"/>
  <c r="L13" i="2"/>
  <c r="H13" i="2"/>
  <c r="G13" i="2"/>
  <c r="F13" i="2"/>
  <c r="E13" i="2"/>
  <c r="D13" i="2"/>
  <c r="C13" i="2"/>
  <c r="P12" i="2"/>
  <c r="L12" i="2"/>
  <c r="H12" i="2"/>
  <c r="G12" i="2"/>
  <c r="F12" i="2"/>
  <c r="E12" i="2"/>
  <c r="D12" i="2"/>
  <c r="C12" i="2"/>
  <c r="P11" i="2"/>
  <c r="L11" i="2"/>
  <c r="H11" i="2"/>
  <c r="G11" i="2"/>
  <c r="F11" i="2"/>
  <c r="E11" i="2"/>
  <c r="D11" i="2"/>
  <c r="C11" i="2"/>
  <c r="P10" i="2"/>
  <c r="L10" i="2"/>
  <c r="H10" i="2"/>
  <c r="G10" i="2"/>
  <c r="F10" i="2"/>
  <c r="E10" i="2"/>
  <c r="D10" i="2"/>
  <c r="C10" i="2"/>
  <c r="P9" i="2"/>
  <c r="L9" i="2"/>
  <c r="H9" i="2"/>
  <c r="G9" i="2"/>
  <c r="F9" i="2"/>
  <c r="E9" i="2"/>
  <c r="D9" i="2"/>
  <c r="C9" i="2"/>
  <c r="P8" i="2"/>
  <c r="L8" i="2"/>
  <c r="H8" i="2"/>
  <c r="G8" i="2"/>
  <c r="F8" i="2"/>
  <c r="E8" i="2"/>
  <c r="D8" i="2"/>
  <c r="C8" i="2"/>
  <c r="P7" i="2"/>
  <c r="L7" i="2"/>
  <c r="H7" i="2"/>
  <c r="G7" i="2"/>
  <c r="F7" i="2"/>
  <c r="E7" i="2"/>
  <c r="D7" i="2"/>
  <c r="C7" i="2"/>
  <c r="K41" i="1"/>
  <c r="J20" i="2" s="1"/>
  <c r="J41" i="1"/>
  <c r="I20" i="2" s="1"/>
  <c r="K40" i="1"/>
  <c r="J40" i="1"/>
  <c r="K39" i="1"/>
  <c r="J21" i="3" s="1"/>
  <c r="J39" i="1"/>
  <c r="I21" i="3" s="1"/>
  <c r="K38" i="1"/>
  <c r="J20" i="3" s="1"/>
  <c r="J38" i="1"/>
  <c r="I20" i="3" s="1"/>
  <c r="K37" i="1"/>
  <c r="J19" i="3" s="1"/>
  <c r="J37" i="1"/>
  <c r="I19" i="3" s="1"/>
  <c r="K36" i="1"/>
  <c r="J19" i="2" s="1"/>
  <c r="J36" i="1"/>
  <c r="I19" i="2" s="1"/>
  <c r="K35" i="1"/>
  <c r="J18" i="2" s="1"/>
  <c r="J35" i="1"/>
  <c r="I18" i="2" s="1"/>
  <c r="K34" i="1"/>
  <c r="J17" i="2" s="1"/>
  <c r="J34" i="1"/>
  <c r="I17" i="2" s="1"/>
  <c r="K33" i="1"/>
  <c r="J16" i="2" s="1"/>
  <c r="J33" i="1"/>
  <c r="I16" i="2" s="1"/>
  <c r="K32" i="1"/>
  <c r="J15" i="2" s="1"/>
  <c r="J32" i="1"/>
  <c r="I15" i="2" s="1"/>
  <c r="K31" i="1"/>
  <c r="J12" i="4" s="1"/>
  <c r="J31" i="1"/>
  <c r="I12" i="4" s="1"/>
  <c r="K30" i="1"/>
  <c r="J18" i="3" s="1"/>
  <c r="J30" i="1"/>
  <c r="I18" i="3" s="1"/>
  <c r="K29" i="1"/>
  <c r="J29" i="1"/>
  <c r="K28" i="1"/>
  <c r="J17" i="3" s="1"/>
  <c r="J28" i="1"/>
  <c r="I17" i="3" s="1"/>
  <c r="K27" i="1"/>
  <c r="J16" i="3" s="1"/>
  <c r="J27" i="1"/>
  <c r="I16" i="3" s="1"/>
  <c r="K26" i="1"/>
  <c r="J15" i="3" s="1"/>
  <c r="J26" i="1"/>
  <c r="I15" i="3" s="1"/>
  <c r="K25" i="1"/>
  <c r="J11" i="4" s="1"/>
  <c r="J25" i="1"/>
  <c r="I11" i="4" s="1"/>
  <c r="K24" i="1"/>
  <c r="J10" i="4" s="1"/>
  <c r="J24" i="1"/>
  <c r="I10" i="4" s="1"/>
  <c r="K23" i="1"/>
  <c r="J23" i="1"/>
  <c r="K22" i="1"/>
  <c r="J14" i="3" s="1"/>
  <c r="J22" i="1"/>
  <c r="I14" i="3" s="1"/>
  <c r="K21" i="1"/>
  <c r="J12" i="2" s="1"/>
  <c r="J21" i="1"/>
  <c r="I12" i="2" s="1"/>
  <c r="K20" i="1"/>
  <c r="J11" i="2" s="1"/>
  <c r="J20" i="1"/>
  <c r="I11" i="2" s="1"/>
  <c r="K19" i="1"/>
  <c r="J10" i="2" s="1"/>
  <c r="J19" i="1"/>
  <c r="I10" i="2" s="1"/>
  <c r="K18" i="1"/>
  <c r="J13" i="3" s="1"/>
  <c r="J18" i="1"/>
  <c r="I13" i="3" s="1"/>
  <c r="K17" i="1"/>
  <c r="J17" i="1"/>
  <c r="K16" i="1"/>
  <c r="J16" i="1"/>
  <c r="K15" i="1"/>
  <c r="J9" i="4" s="1"/>
  <c r="J15" i="1"/>
  <c r="I9" i="4" s="1"/>
  <c r="K14" i="1"/>
  <c r="J8" i="4" s="1"/>
  <c r="J14" i="1"/>
  <c r="I8" i="4" s="1"/>
  <c r="K13" i="1"/>
  <c r="J13" i="1"/>
  <c r="K12" i="1"/>
  <c r="J11" i="3" s="1"/>
  <c r="J12" i="1"/>
  <c r="I11" i="3" s="1"/>
  <c r="K11" i="1"/>
  <c r="J11" i="1"/>
  <c r="K10" i="1"/>
  <c r="J10" i="3" s="1"/>
  <c r="J10" i="1"/>
  <c r="I10" i="3" s="1"/>
  <c r="K8" i="1"/>
  <c r="J9" i="3" s="1"/>
  <c r="J8" i="1"/>
  <c r="I9" i="3" s="1"/>
  <c r="K7" i="1"/>
  <c r="J8" i="3" s="1"/>
  <c r="J7" i="1"/>
  <c r="I8" i="3" s="1"/>
  <c r="K6" i="1"/>
  <c r="J6" i="1"/>
  <c r="K5" i="1"/>
  <c r="D5" i="5" s="1"/>
  <c r="J5" i="1"/>
  <c r="C5" i="5" s="1"/>
  <c r="K22" i="3" l="1"/>
  <c r="K14" i="4"/>
  <c r="I15" i="4"/>
  <c r="D9" i="5"/>
  <c r="J13" i="4"/>
  <c r="C9" i="5"/>
  <c r="I13" i="4"/>
  <c r="J14" i="2"/>
  <c r="D8" i="5"/>
  <c r="I14" i="2"/>
  <c r="C8" i="5"/>
  <c r="J13" i="2"/>
  <c r="D7" i="5"/>
  <c r="I13" i="2"/>
  <c r="C7" i="5"/>
  <c r="J9" i="2"/>
  <c r="D6" i="5"/>
  <c r="I9" i="2"/>
  <c r="C6" i="5"/>
  <c r="I23" i="3"/>
  <c r="I22" i="2"/>
  <c r="J12" i="3"/>
  <c r="D16" i="5"/>
  <c r="I12" i="3"/>
  <c r="C16" i="5"/>
  <c r="J8" i="2"/>
  <c r="D14" i="5"/>
  <c r="I8" i="2"/>
  <c r="C14" i="5"/>
  <c r="J7" i="4"/>
  <c r="D30" i="5"/>
  <c r="D15" i="5"/>
  <c r="I7" i="4"/>
  <c r="C30" i="5"/>
  <c r="C15" i="5"/>
  <c r="J7" i="3"/>
  <c r="D29" i="5"/>
  <c r="I7" i="3"/>
  <c r="C29" i="5"/>
  <c r="D28" i="5"/>
  <c r="D13" i="5"/>
  <c r="K44" i="1"/>
  <c r="C28" i="5"/>
  <c r="C13" i="5"/>
  <c r="J44" i="1"/>
  <c r="J7" i="2"/>
  <c r="K43" i="1"/>
  <c r="I7" i="2"/>
  <c r="J43" i="1"/>
  <c r="I22" i="3" l="1"/>
  <c r="J22" i="3"/>
  <c r="D10" i="5"/>
  <c r="C10" i="5"/>
  <c r="D31" i="5"/>
  <c r="C31" i="5"/>
  <c r="J14" i="4"/>
  <c r="J21" i="2"/>
  <c r="I14" i="4"/>
  <c r="I21" i="2"/>
</calcChain>
</file>

<file path=xl/sharedStrings.xml><?xml version="1.0" encoding="utf-8"?>
<sst xmlns="http://schemas.openxmlformats.org/spreadsheetml/2006/main" count="693" uniqueCount="297">
  <si>
    <t>DAFTAR KOMPONEN DEMO DAY — Purwarupa APFC 1 Fasa (Fase 1, meter CHINT DDSU666)</t>
  </si>
  <si>
    <t>DeepTech for Smart-X Hackathon 2026 · Harga dari penelusuran Tokopedia 2–4 Okt 2026 (belum termasuk ongkir). Teks biru = boleh diubah (Qty, harga). Kolom Status (kuning): Belum / Dipesan / Diterima / Sudah punya — 'Sudah punya' otomatis tidak dihitung di total.</t>
  </si>
  <si>
    <t>Kolom R 'Tahap beli': 1 = pesan hari ini · 2 = setelah uji meja · 3 = setelah pengumuman lolos. Rincian per tahap ada di sheet Tahap 1–3.</t>
  </si>
  <si>
    <t>No</t>
  </si>
  <si>
    <t>Kategori</t>
  </si>
  <si>
    <t>Komponen</t>
  </si>
  <si>
    <t>Merek / Model / Kode seri</t>
  </si>
  <si>
    <t>Spesifikasi kunci</t>
  </si>
  <si>
    <t>Qty</t>
  </si>
  <si>
    <t>Satuan</t>
  </si>
  <si>
    <t>Harga satuan min (Rp)</t>
  </si>
  <si>
    <t>Harga satuan maks (Rp)</t>
  </si>
  <si>
    <t>Subtotal min (Rp)</t>
  </si>
  <si>
    <t>Subtotal maks (Rp)</t>
  </si>
  <si>
    <t>Prioritas</t>
  </si>
  <si>
    <t>Sumber harga</t>
  </si>
  <si>
    <t>Status</t>
  </si>
  <si>
    <t>Link Tokopedia</t>
  </si>
  <si>
    <t>Link Shopee</t>
  </si>
  <si>
    <t>Catatan agar tidak salah beli</t>
  </si>
  <si>
    <t>Tahap beli</t>
  </si>
  <si>
    <t>A. Pengukuran &amp; Kontrol</t>
  </si>
  <si>
    <t>Meter energi 1 fasa (Modbus)</t>
  </si>
  <si>
    <t>CHINT DDSU666 — varian RS485 Modbus, 5(80)A, 230V 1P2W</t>
  </si>
  <si>
    <t>Ukur V, I, P, Q, PF, Hz, kWh; RS485 Modbus-RTU; kelas 1; DIN rail 2 modul</t>
  </si>
  <si>
    <t>unit</t>
  </si>
  <si>
    <t>Wajib</t>
  </si>
  <si>
    <t>Tokopedia (dicek 2–4 Okt 2026)</t>
  </si>
  <si>
    <t>Belum</t>
  </si>
  <si>
    <t>Tokopedia</t>
  </si>
  <si>
    <t>Shopee</t>
  </si>
  <si>
    <t>WAJIB ada tulisan 'RS485' di judul. Versi tanpa RS485 (±Rp410 rb) TIDAK bisa dibaca ESP32. Minta penjual foto terminal 24/25 (A/B).</t>
  </si>
  <si>
    <t>Mikrokontroler / edge controller</t>
  </si>
  <si>
    <t>ESP32 DevKit V1 — modul ESP-WROOM-32, 30 pin, USB-C</t>
  </si>
  <si>
    <t>Dual-core 240 MHz, Wi-Fi + BLE, 4 MB flash, chip USB CP2102/CH340</t>
  </si>
  <si>
    <t>Wajib (1 cadangan)</t>
  </si>
  <si>
    <t>Pilih WROOM-32 (bukan WROVER — GPIO16/17 dipakai PSRAM). Beli 2: satu cadangan bila rusak saat demo.</t>
  </si>
  <si>
    <t>Modul komunikasi RS485</t>
  </si>
  <si>
    <t>MAX3485 TTL to RS485 module (3,3 V)</t>
  </si>
  <si>
    <t>Supply 3,3 V, terminal A/B, ada resistor terminasi 120 Ω</t>
  </si>
  <si>
    <t>JANGAN beli MAX485 biasa (5 V) — level 5 V bisa merusak pin RX ESP32.</t>
  </si>
  <si>
    <t>Catu daya AC-DC 5 V</t>
  </si>
  <si>
    <t>Hi-Link HLK-5M05</t>
  </si>
  <si>
    <t>Input 100–240 VAC, output 5 VDC 1 A (5 W), terisolasi</t>
  </si>
  <si>
    <t>Pilih 5M05 (5 W), bukan HLK-PM01 (3 W) — daya PM01 terlalu mepet untuk ESP32 + 3 relay.</t>
  </si>
  <si>
    <t>Modul SSR 4 kanal (saklar step kapasitor)</t>
  </si>
  <si>
    <t>Modul SSR 4CH Omron G3MB-202P 5V, high-level trigger</t>
  </si>
  <si>
    <t>Zero-cross, beban 2 A 100–240 VAC per kanal, input 5 VDC</t>
  </si>
  <si>
    <t>Pilih 'HIGH level trigger' dan yang ada fuse per kanal. 3 kanal untuk 3 step, 1 kanal cadangan.</t>
  </si>
  <si>
    <t>SSR satuan (cadangan)</t>
  </si>
  <si>
    <t>Omron G3MB-202P (DC5V)</t>
  </si>
  <si>
    <t>Zero-cross, 2 A 240 VAC, SIP-4</t>
  </si>
  <si>
    <t>pcs</t>
  </si>
  <si>
    <t>Cadangan</t>
  </si>
  <si>
    <t>Pastikan kode -202P (zero-cross), BUKAN -202PL (tanpa zero-cross).</t>
  </si>
  <si>
    <t>Modul relay 4 kanal (saklar beban demo)</t>
  </si>
  <si>
    <t>Modul relay 4CH 5V optocoupler (relay Songle SRD-05VDC)</t>
  </si>
  <si>
    <t>Kontak 10 A 250 VAC, optocoupler, jumper VCC–JD-VCC</t>
  </si>
  <si>
    <t>Harus ada jumper JD-VCC (agar VCC opto bisa 3,3 V dan koil 5 V).</t>
  </si>
  <si>
    <t>Adaptor USB–RS485 (konfigurasi meter dari laptop)</t>
  </si>
  <si>
    <t>USB to RS485 converter CH340</t>
  </si>
  <si>
    <t>Untuk setting baud rate DDSU666 &amp; debug Modbus (QModMaster)</t>
  </si>
  <si>
    <t>Disarankan</t>
  </si>
  <si>
    <t>Sangat membantu saat uji meja: baca meter dari laptop sebelum firmware ESP32 siap.</t>
  </si>
  <si>
    <t>Modul microSD (log data cadangan)</t>
  </si>
  <si>
    <t>Micro SD card module SPI (3,3 V / 5 V)</t>
  </si>
  <si>
    <t>Antarmuka SPI, level shifter onboard</t>
  </si>
  <si>
    <t>Pin ESP32: SCK 18, MISO 19, MOSI 23, CS 5.</t>
  </si>
  <si>
    <t>Kartu microSD</t>
  </si>
  <si>
    <t>microSD 8–16 GB Class 10 (SanDisk/V-Gen)</t>
  </si>
  <si>
    <t>Format FAT32</t>
  </si>
  <si>
    <t>Estimasi — cek saat beli</t>
  </si>
  <si>
    <t>Format FAT32 sebelum dipakai.</t>
  </si>
  <si>
    <t>B. Bank Kapasitor</t>
  </si>
  <si>
    <t>Kapasitor step (utama)</t>
  </si>
  <si>
    <t>CBB60 6 µF 450 VAC ±5%, model kabel</t>
  </si>
  <si>
    <t>Polypropylene film, 50/60 Hz; ±91 VAr per step pada 220 V</t>
  </si>
  <si>
    <t>Harus CBB60/CBB65 tipe AC 450 V. JANGAN kapasitor elektrolit (ELCO) atau kapasitor start motor (CD60).</t>
  </si>
  <si>
    <t>Kapasitor penyesuai (setelah uji meja)</t>
  </si>
  <si>
    <t>CBB60 4 µF 450 VAC</t>
  </si>
  <si>
    <t>±61 VAr per step pada 220 V</t>
  </si>
  <si>
    <t>Opsional</t>
  </si>
  <si>
    <t>Dipakai bila Q motor &lt; ±250 VAr (hasil uji meja langkah 2).</t>
  </si>
  <si>
    <t>CBB60 8 µF 450 VAC</t>
  </si>
  <si>
    <t>±122 VAr per step pada 220 V</t>
  </si>
  <si>
    <t>Dipakai bila Q motor &gt; ±450 VAr.</t>
  </si>
  <si>
    <t>Resistor pelepas muatan</t>
  </si>
  <si>
    <t>Resistor metal film 100 kΩ 1 W</t>
  </si>
  <si>
    <t>2 buah seri per kapasitor (200 kΩ, τ ≈ 1,2 s)</t>
  </si>
  <si>
    <t>Rating minimal 1 W. Dipasang paralel dengan setiap kapasitor.</t>
  </si>
  <si>
    <t>Fuse holder panel</t>
  </si>
  <si>
    <t>Fuse holder 5×20 mm (panel mount atau PCB)</t>
  </si>
  <si>
    <t>Rating 250 VAC 10 A</t>
  </si>
  <si>
    <t>3 untuk step kapasitor + 1 untuk input HLK-5M05.</t>
  </si>
  <si>
    <t>Sekring step kapasitor</t>
  </si>
  <si>
    <t>Fuse kaca 5×20 mm T1A 250V (slow-blow)</t>
  </si>
  <si>
    <t>Time-lag 1 A</t>
  </si>
  <si>
    <t>Tipe T (slow-blow) agar tidak putus saat arus sambung kapasitor.</t>
  </si>
  <si>
    <t>Sekring catu daya</t>
  </si>
  <si>
    <t>Fuse kaca 5×20 mm 0,5 A 250V</t>
  </si>
  <si>
    <t>Proteksi input HLK-5M05</t>
  </si>
  <si>
    <t>C. Beban Demo</t>
  </si>
  <si>
    <t>Motor induksi 1 fasa (beban induktif utama)</t>
  </si>
  <si>
    <t>Motor 1/4 HP (180 W) 4 pole, tipe kapasitor-start — mis. MAXPUMP YC712-4 / Yama 1/4 HP</t>
  </si>
  <si>
    <t>220 V 50 Hz, 1400 rpm; dipasang tanpa beban mekanis</t>
  </si>
  <si>
    <t>Utamakan kode 'YC' (kapasitor start). Hindari 'YL'/'YY' (ada kapasitor run → cos φ sudah tinggi, efek koreksi kurang terlihat). Tanyakan ke penjual.</t>
  </si>
  <si>
    <t>Ballast magnetik (beban induktif tambahan)</t>
  </si>
  <si>
    <t>Philips BTA 36W 220V (ballast trafo TL magnetik)</t>
  </si>
  <si>
    <t>Untuk 1 lampu TL 36 W</t>
  </si>
  <si>
    <t>Ballast MAGNETIK (trafo), bukan ballast elektronik. Wajib dipakai bersama lampu TL + starter.</t>
  </si>
  <si>
    <t>Lampu TL set untuk ballast</t>
  </si>
  <si>
    <t>Tabung TL-D 36W + starter S10 + kap/fitting TL 1×36W</t>
  </si>
  <si>
    <t>Tanpa kapasitor kompensasi bawaan</t>
  </si>
  <si>
    <t>set</t>
  </si>
  <si>
    <t>Bila kap bawaan punya kapasitor kompensasi, lepas kapasitornya agar beban tetap induktif.</t>
  </si>
  <si>
    <t>Lampu halogen (beban resistif)</t>
  </si>
  <si>
    <t>Philips Halogen Plusline S 300W R7s 118 mm 230V</t>
  </si>
  <si>
    <t>Beban resistif murni ±300 W</t>
  </si>
  <si>
    <t>Panjang 118 mm, harus cocok dengan rumah lampu.</t>
  </si>
  <si>
    <t>Rumah lampu sorot halogen</t>
  </si>
  <si>
    <t>Lampu sorot halogen R7s 118 mm (fixture 300–500 W)</t>
  </si>
  <si>
    <t>Rumah lampu + kaca pelindung</t>
  </si>
  <si>
    <t>Lampu sangat panas — pasang di luar panel, beri jarak dari kabel.</t>
  </si>
  <si>
    <t>Stopkontak beban elektronik AC–DC</t>
  </si>
  <si>
    <t>Stopkontak tempel/panel 1 lubang ber-arde</t>
  </si>
  <si>
    <t>16 A 250 V</t>
  </si>
  <si>
    <t>Untuk mencolok charger laptop (beban nonlinear) yang dikendalikan relay K3.</t>
  </si>
  <si>
    <t>D. Proteksi &amp; Panel</t>
  </si>
  <si>
    <t>Pengaman utama</t>
  </si>
  <si>
    <t>RCBO 1P+N 6 A 30 mA — mis. Chint NXBLE-32 / Schneider Domae DOMD01606</t>
  </si>
  <si>
    <t>Proteksi arus lebih + arus bocor 30 mA</t>
  </si>
  <si>
    <t>Pilih 6 A dan 30 mA (bukan 300 mA).</t>
  </si>
  <si>
    <t>Tombol darurat</t>
  </si>
  <si>
    <t>Emergency stop push button 22 mm, merah, twist-release, kontak 1NC</t>
  </si>
  <si>
    <t>10 A 250 VAC</t>
  </si>
  <si>
    <t>Dipasang seri di jalur L setelah RCBO; penting untuk keselamatan saat demo di depan juri.</t>
  </si>
  <si>
    <t>Lampu indikator step &amp; power</t>
  </si>
  <si>
    <t>Pilot lamp LED AD16-22DS 220 VAC 22 mm (3 hijau + 1 merah)</t>
  </si>
  <si>
    <t>Indikator step kapasitor ON dan panel bertegangan</t>
  </si>
  <si>
    <t>Hijau dipasang paralel setelah tiap SSR — juri melihat step mana yang aktif.</t>
  </si>
  <si>
    <t>Box panel</t>
  </si>
  <si>
    <t>Box panel indoor 30×40×20 cm, pintu akrilik, plat 1,2 mm</t>
  </si>
  <si>
    <t>Dengan mounting plate</t>
  </si>
  <si>
    <t>Pintu akrilik agar komponen terlihat juri tanpa membuka panel.</t>
  </si>
  <si>
    <t>Rel DIN</t>
  </si>
  <si>
    <t>Rel DIN 35 mm (top hat), 1 meter</t>
  </si>
  <si>
    <t>Untuk RCBO, meter, terminal</t>
  </si>
  <si>
    <t>batang</t>
  </si>
  <si>
    <t>Terminal block</t>
  </si>
  <si>
    <t>Terminal UK2.5B + end stopper + jumper bar</t>
  </si>
  <si>
    <t>2,5 mm², 32 A; grup L, N, PE</t>
  </si>
  <si>
    <t>Siapkan juga 2–4 end stopper.</t>
  </si>
  <si>
    <t>Kabel daya panel</t>
  </si>
  <si>
    <t>Kabel NYAF 1,5 mm² — merah (L), biru/hitam (N), kuning-hijau (PE)</t>
  </si>
  <si>
    <t>Serabut, 450/750 V</t>
  </si>
  <si>
    <t>meter</t>
  </si>
  <si>
    <t>±10 m per warna.</t>
  </si>
  <si>
    <t>Kabel input + steker</t>
  </si>
  <si>
    <t>Kabel NYMHY 3×1,5 mm² 3 m + steker arde</t>
  </si>
  <si>
    <t>Dari stopkontak venue ke panel</t>
  </si>
  <si>
    <t>Aksesoris pengawatan</t>
  </si>
  <si>
    <t>Skun/ferrule pin + heat shrink + cable tie + duct kabel</t>
  </si>
  <si>
    <t>Paket campuran</t>
  </si>
  <si>
    <t>paket</t>
  </si>
  <si>
    <t>Aksesoris elektronik</t>
  </si>
  <si>
    <t>Kabel jumper dupont, PCB lubang, spacer &amp; baut M3</t>
  </si>
  <si>
    <t>Untuk zona tegangan rendah</t>
  </si>
  <si>
    <t>Kabel RS485</t>
  </si>
  <si>
    <t>Kabel UTP Cat5e (pakai 1 pasang twisted), 2 m</t>
  </si>
  <si>
    <t>Meter ↔ MAX3485</t>
  </si>
  <si>
    <t>E. Alat Ukur &amp; Perkakas</t>
  </si>
  <si>
    <t>Tang ampere (bukti fisik di demo)</t>
  </si>
  <si>
    <t>UNI-T UT204+ True RMS AC/DC clamp meter</t>
  </si>
  <si>
    <t>600 A AC/DC, ukur V, Ω</t>
  </si>
  <si>
    <t>Dijepit di kabel L sebelum kapasitor: juri melihat arus turun saat step masuk. Lewati bila sudah punya.</t>
  </si>
  <si>
    <t>Multimeter digital</t>
  </si>
  <si>
    <t>UNI-T UT33D+ atau setara</t>
  </si>
  <si>
    <t>Cek tegangan sisa kapasitor &amp; kontinuitas</t>
  </si>
  <si>
    <t>Lewati bila sudah punya.</t>
  </si>
  <si>
    <t>TOTAL (tanpa item 'Sudah punya')</t>
  </si>
  <si>
    <t>Total hanya item Wajib</t>
  </si>
  <si>
    <t>Link Tokopedia ke halaman produk = toko yang sudah dicek; link berupa pencarian = pilih penjual dengan rating ≥ 4,8 dan stok tersedia. Link Shopee berupa halaman pencarian.</t>
  </si>
  <si>
    <t>TAHAP 1 — Uji meja &amp; barang yang lama dikirim</t>
  </si>
  <si>
    <t>Kapan dipesan:</t>
  </si>
  <si>
    <t>Pesan hari ini, Senin 5 Okt 2026 (target tiba 7–8 Okt).</t>
  </si>
  <si>
    <t>Tujuan:</t>
  </si>
  <si>
    <t>Membuktikan Q turun saat kapasitor masuk (uji meja tanpa ESP32) dan menentukan nilai µF final.</t>
  </si>
  <si>
    <t>Qty, harga, dan Status diubah di sheet 'Daftar Belanja'; sheet ini ikut berubah otomatis.</t>
  </si>
  <si>
    <t>No di Daftar Belanja</t>
  </si>
  <si>
    <t>Alasan dibeli di tahap ini</t>
  </si>
  <si>
    <t>Inti pengukuran; dibutuhkan untuk uji meja. Stok terbatas, harga paling tinggi.</t>
  </si>
  <si>
    <t>Membaca meter langsung dari laptop saat uji meja, sebelum firmware ESP32 siap.</t>
  </si>
  <si>
    <t>Uji meja langkah 1 &amp; 3 (kapasitor saja, lalu motor + 1/2/3 kapasitor).</t>
  </si>
  <si>
    <t>Keselamatan: kapasitor wajib punya pelepas muatan sejak uji pertama.</t>
  </si>
  <si>
    <t>Proteksi tiap step kapasitor sejak uji meja.</t>
  </si>
  <si>
    <t>Sekring untuk fuse holder step kapasitor.</t>
  </si>
  <si>
    <t>Beban induktif utama; Q motor menentukan nilai µF final. Barang berat, pengiriman lama.</t>
  </si>
  <si>
    <t>Keselamatan saat uji meja 220 V.</t>
  </si>
  <si>
    <t>Pengiriman paling lama (custom pintu akrilik); bisa dipakai sebagai papan uji.</t>
  </si>
  <si>
    <t>Dudukan RCBO, meter, dan terminal.</t>
  </si>
  <si>
    <t>Sambungan L, N, PE untuk rangkaian uji meja.</t>
  </si>
  <si>
    <t>Pengawatan rangkaian daya.</t>
  </si>
  <si>
    <t>Sumber listrik dari stopkontak ke rangkaian.</t>
  </si>
  <si>
    <t>Cek kontinuitas dan tegangan sisa kapasitor sebelum menyentuh rangkaian. Lewati bila sudah punya.</t>
  </si>
  <si>
    <t>TOTAL TAHAP 1</t>
  </si>
  <si>
    <t>Item sudah diterima / sudah punya</t>
  </si>
  <si>
    <t>Tahap 1 dianggap selesai bila:</t>
  </si>
  <si>
    <t>☐</t>
  </si>
  <si>
    <t>Meter terbaca dari laptop lewat USB–RS485 (V ≈ 220 V, f ≈ 50 Hz).</t>
  </si>
  <si>
    <t>1 kapasitor saja → Q ≈ −91 VAr, I ≈ 0,41 A.</t>
  </si>
  <si>
    <t>Motor saja → P, Q, cos φ tercatat.</t>
  </si>
  <si>
    <t>Motor + 1/2/3 kapasitor → Q turun bertahap, cos φ naik.</t>
  </si>
  <si>
    <t>Nilai µF final diputuskan (6 µF tetap, atau ganti 4/8 µF di Tahap 2).</t>
  </si>
  <si>
    <t>TAHAP 2 — Kontrol otomatis &amp; perakitan panel</t>
  </si>
  <si>
    <t>Pesan Kamis–Jumat, 8–9 Okt 2026, setelah uji meja Tahap 1.</t>
  </si>
  <si>
    <t>ESP32 membaca DDSU666, mengendalikan step kapasitor dan beban secara otomatis, data tampil di dashboard MQTT.</t>
  </si>
  <si>
    <t>Edge controller untuk mengotomatiskan uji meja.</t>
  </si>
  <si>
    <t>Penghubung meter ↔ ESP32.</t>
  </si>
  <si>
    <t>Catu 5 V untuk ESP32, SSR, dan relay.</t>
  </si>
  <si>
    <t>Saklar otomatis 3 step kapasitor.</t>
  </si>
  <si>
    <t>Saklar beban demo (motor, lampu, beban AC–DC) sesuai profil beban.</t>
  </si>
  <si>
    <t>BELI HANYA JIKA uji meja menunjukkan Q motor &lt; ±250 VAr.</t>
  </si>
  <si>
    <t>BELI HANYA JIKA uji meja menunjukkan Q motor &gt; ±450 VAr.</t>
  </si>
  <si>
    <t>Proteksi input HLK-5M05.</t>
  </si>
  <si>
    <t>Beban resistif untuk profil beban 12 menit.</t>
  </si>
  <si>
    <t>Rumah lampu untuk halogen 300 W.</t>
  </si>
  <si>
    <t>Colokan beban elektronik AC–DC (charger laptop).</t>
  </si>
  <si>
    <t>Dipasang saat perakitan panel final (keselamatan demo).</t>
  </si>
  <si>
    <t>Merapikan pengawatan panel.</t>
  </si>
  <si>
    <t>Perakitan zona tegangan rendah.</t>
  </si>
  <si>
    <t>Jalur RS485 meter ↔ MAX3485.</t>
  </si>
  <si>
    <t>TOTAL TAHAP 2</t>
  </si>
  <si>
    <t>Tahap 2 dianggap selesai bila:</t>
  </si>
  <si>
    <t>ESP32 membaca meter via MAX3485 (Modbus FC03).</t>
  </si>
  <si>
    <t>SSR menyambung/melepas step sesuai algoritma hysteresis tanpa hunting.</t>
  </si>
  <si>
    <t>Relay menjalankan profil beban 12 menit.</t>
  </si>
  <si>
    <t>Panel 220 V terakit rapi di box, emergency stop berfungsi.</t>
  </si>
  <si>
    <t>Uji profil A/B (APFC mati vs hidup) berhasil 3× berturut.</t>
  </si>
  <si>
    <t>TAHAP 3 — Kelengkapan demo &amp; cadangan</t>
  </si>
  <si>
    <t>Pesan Senin 12 Okt 2026, setelah pengumuman tim lolos.</t>
  </si>
  <si>
    <t>Memperkuat tampilan dan keandalan demo di depan juri.</t>
  </si>
  <si>
    <t>Cadangan bila SSR rusak saat demo.</t>
  </si>
  <si>
    <t>Log data cadangan bila Wi-Fi venue bermasalah.</t>
  </si>
  <si>
    <t>Media penyimpanan modul microSD.</t>
  </si>
  <si>
    <t>Beban induktif tambahan agar demo lebih bervariasi.</t>
  </si>
  <si>
    <t>Pasangan ballast magnetik.</t>
  </si>
  <si>
    <t>Visual untuk juri: step mana yang aktif.</t>
  </si>
  <si>
    <t>Bukti fisik arus turun di depan juri; juga untuk laporan teknis.</t>
  </si>
  <si>
    <t>TOTAL TAHAP 3</t>
  </si>
  <si>
    <t>Tahap 3 dianggap selesai bila:</t>
  </si>
  <si>
    <t>Lampu indikator step terpasang di pintu panel.</t>
  </si>
  <si>
    <t>Log microSD berjalan sebagai cadangan data.</t>
  </si>
  <si>
    <t>Tang ampere menunjukkan arus turun saat step masuk.</t>
  </si>
  <si>
    <t>Komponen cadangan (SSR, ESP32, HLK) dibawa ke Demo Day.</t>
  </si>
  <si>
    <t>Ringkasan Anggaran Demo Day</t>
  </si>
  <si>
    <t>Semua angka dihitung otomatis dari sheet 'Daftar Belanja'.</t>
  </si>
  <si>
    <t>Jumlah item</t>
  </si>
  <si>
    <t>Total min (Rp)</t>
  </si>
  <si>
    <t>Total maks (Rp)</t>
  </si>
  <si>
    <t>TOTAL</t>
  </si>
  <si>
    <t>Wajib (termasuk cadangan wajib)</t>
  </si>
  <si>
    <t>Wajib*</t>
  </si>
  <si>
    <t>Progres belanja</t>
  </si>
  <si>
    <t>Dipesan</t>
  </si>
  <si>
    <t>Diterima</t>
  </si>
  <si>
    <t>Sudah punya</t>
  </si>
  <si>
    <t>Anggaran per tahap belanja</t>
  </si>
  <si>
    <t>Tahap</t>
  </si>
  <si>
    <t>Kapan dipesan</t>
  </si>
  <si>
    <t>Tahap 1</t>
  </si>
  <si>
    <t>Tahap 2</t>
  </si>
  <si>
    <t>Tahap 3</t>
  </si>
  <si>
    <t>Cek sebelum checkout — kesalahan beli yang paling sering</t>
  </si>
  <si>
    <t>Meter DDSU666</t>
  </si>
  <si>
    <t>Judul produk HARUS menyebut RS485/Modbus. Versi tanpa komunikasi (±Rp410 rb) tidak bisa dibaca ESP32.</t>
  </si>
  <si>
    <t>Modul RS485</t>
  </si>
  <si>
    <t>MAX3485 (3,3 V), bukan MAX485 (5 V).</t>
  </si>
  <si>
    <t>SSR</t>
  </si>
  <si>
    <t>G3MB-202P (zero-cross). Hindari G3MB-202PL. Pilih modul 'high level trigger'.</t>
  </si>
  <si>
    <t>Kapasitor</t>
  </si>
  <si>
    <t>CBB60 / CBB65 tipe AC ≥ 450 VAC. Bukan ELCO, bukan kapasitor start CD60.</t>
  </si>
  <si>
    <t>Motor</t>
  </si>
  <si>
    <t>1/4 HP 1 fasa, utamakan tipe kapasitor-start (kode YC). Tanyakan penjual apakah ada kapasitor run.</t>
  </si>
  <si>
    <t>Ballast</t>
  </si>
  <si>
    <t>Ballast MAGNETIK (trafo, berat), bukan ballast elektronik. Pakai bersama lampu TL + starter.</t>
  </si>
  <si>
    <t>Catu daya</t>
  </si>
  <si>
    <t>HLK-5M05 (5 W). HLK-PM01 (3 W) terlalu kecil.</t>
  </si>
  <si>
    <t>RCBO</t>
  </si>
  <si>
    <t>6 A, 30 mA, 1P+N.</t>
  </si>
  <si>
    <t>Urutan beli</t>
  </si>
  <si>
    <t>Pesan dulu: DDSU666, motor, box panel (paling lama datang). Lalu komponen elektronik.</t>
  </si>
  <si>
    <t>Uji meja</t>
  </si>
  <si>
    <t>Begitu meter, motor, dan kapasitor datang: (1) 1 kapasitor saja → Q ≈ −91 VAr; (2) motor saja → catat Q; (3) motor + 1/2/3 kapasitor → Q turun bertahap. Pilih nilai µF final dari hasil langkah 2.</t>
  </si>
  <si>
    <t>Harga Beli
(Rp)</t>
  </si>
  <si>
    <t>Harga Beli
(RP)</t>
  </si>
  <si>
    <t xml:space="preserve">Ada di lemari CAT5E </t>
  </si>
  <si>
    <t>PSU 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</si>
</sst>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\-"/>
  </numFmts>
  <fonts count="22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9"/>
      <color rgb="FF4B5563"/>
      <name val="Arial"/>
      <charset val="1"/>
    </font>
    <font>
      <i/>
      <sz val="9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9C0006"/>
      <name val="Arial"/>
      <charset val="1"/>
    </font>
    <font>
      <u/>
      <sz val="10"/>
      <color rgb="FF0563C1"/>
      <name val="Arial"/>
      <charset val="1"/>
    </font>
    <font>
      <b/>
      <sz val="10"/>
      <color rgb="FF0000FF"/>
      <name val="Arial"/>
      <charset val="1"/>
    </font>
    <font>
      <i/>
      <sz val="10"/>
      <color rgb="FF9C5700"/>
      <name val="Arial"/>
      <charset val="1"/>
    </font>
    <font>
      <b/>
      <sz val="11"/>
      <name val="Arial"/>
      <charset val="1"/>
    </font>
    <font>
      <b/>
      <sz val="14"/>
      <color rgb="FFC00000"/>
      <name val="Arial"/>
      <charset val="1"/>
    </font>
    <font>
      <b/>
      <sz val="11"/>
      <color rgb="FFC00000"/>
      <name val="Arial"/>
      <charset val="1"/>
    </font>
    <font>
      <sz val="11"/>
      <name val="Arial"/>
      <charset val="1"/>
    </font>
    <font>
      <b/>
      <sz val="14"/>
      <color rgb="FFC55A11"/>
      <name val="Arial"/>
      <charset val="1"/>
    </font>
    <font>
      <b/>
      <sz val="11"/>
      <color rgb="FFC55A11"/>
      <name val="Arial"/>
      <charset val="1"/>
    </font>
    <font>
      <b/>
      <sz val="14"/>
      <color rgb="FF548235"/>
      <name val="Arial"/>
      <charset val="1"/>
    </font>
    <font>
      <b/>
      <sz val="11"/>
      <color rgb="FF548235"/>
      <name val="Arial"/>
      <charset val="1"/>
    </font>
    <font>
      <sz val="8"/>
      <color rgb="FFFFFFFF"/>
      <name val="Arial"/>
      <charset val="1"/>
    </font>
    <font>
      <b/>
      <sz val="12"/>
      <color rgb="FF1F4E7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4B5563"/>
      </patternFill>
    </fill>
    <fill>
      <patternFill patternType="solid">
        <fgColor rgb="FFEAF2FA"/>
        <bgColor rgb="FFF3F0F8"/>
      </patternFill>
    </fill>
    <fill>
      <patternFill patternType="solid">
        <fgColor rgb="FFFFF2CC"/>
        <bgColor rgb="FFFDF1E7"/>
      </patternFill>
    </fill>
    <fill>
      <patternFill patternType="solid">
        <fgColor rgb="FFFDF1E7"/>
        <bgColor rgb="FFF4F4F4"/>
      </patternFill>
    </fill>
    <fill>
      <patternFill patternType="solid">
        <fgColor rgb="FFEEF6EA"/>
        <bgColor rgb="FFF4F4F4"/>
      </patternFill>
    </fill>
    <fill>
      <patternFill patternType="solid">
        <fgColor rgb="FFF3F0F8"/>
        <bgColor rgb="FFF4F4F4"/>
      </patternFill>
    </fill>
    <fill>
      <patternFill patternType="solid">
        <fgColor rgb="FFF4F4F4"/>
        <bgColor rgb="FFF3F0F8"/>
      </patternFill>
    </fill>
    <fill>
      <patternFill patternType="solid">
        <fgColor rgb="FFDDEBF7"/>
        <bgColor rgb="FFEAF2FA"/>
      </patternFill>
    </fill>
    <fill>
      <patternFill patternType="solid">
        <fgColor rgb="FFC00000"/>
        <bgColor rgb="FF9C0006"/>
      </patternFill>
    </fill>
    <fill>
      <patternFill patternType="solid">
        <fgColor rgb="FFC55A11"/>
        <bgColor rgb="FF9C5700"/>
      </patternFill>
    </fill>
    <fill>
      <patternFill patternType="solid">
        <fgColor rgb="FF548235"/>
        <bgColor rgb="FF339966"/>
      </patternFill>
    </fill>
  </fills>
  <borders count="2">
    <border>
      <left/>
      <right/>
      <top/>
      <bottom/>
      <diagonal/>
    </border>
    <border>
      <left style="thin">
        <color rgb="FFBFC5CE"/>
      </left>
      <right style="thin">
        <color rgb="FFBFC5CE"/>
      </right>
      <top style="thin">
        <color rgb="FFBFC5CE"/>
      </top>
      <bottom style="thin">
        <color rgb="FFBFC5CE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/>
    </xf>
    <xf numFmtId="164" fontId="7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top"/>
    </xf>
    <xf numFmtId="0" fontId="5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12" fillId="0" borderId="0" xfId="0" applyFont="1"/>
    <xf numFmtId="3" fontId="12" fillId="9" borderId="1" xfId="0" applyNumberFormat="1" applyFont="1" applyFill="1" applyBorder="1"/>
    <xf numFmtId="0" fontId="6" fillId="0" borderId="0" xfId="0" applyFont="1"/>
    <xf numFmtId="3" fontId="6" fillId="0" borderId="1" xfId="0" applyNumberFormat="1" applyFont="1" applyBorder="1"/>
    <xf numFmtId="0" fontId="2" fillId="0" borderId="0" xfId="0" applyFont="1"/>
    <xf numFmtId="0" fontId="13" fillId="0" borderId="0" xfId="0" applyFont="1"/>
    <xf numFmtId="0" fontId="5" fillId="0" borderId="0" xfId="0" applyFont="1"/>
    <xf numFmtId="0" fontId="4" fillId="1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4" fillId="11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4" fillId="12" borderId="1" xfId="0" applyFont="1" applyFill="1" applyBorder="1" applyAlignment="1">
      <alignment horizontal="center" vertical="center" wrapText="1"/>
    </xf>
    <xf numFmtId="0" fontId="19" fillId="0" borderId="0" xfId="0" applyFont="1"/>
    <xf numFmtId="0" fontId="4" fillId="2" borderId="1" xfId="0" applyFont="1" applyFill="1" applyBorder="1" applyAlignment="1">
      <alignment horizontal="center"/>
    </xf>
    <xf numFmtId="164" fontId="5" fillId="0" borderId="0" xfId="0" applyNumberFormat="1" applyFont="1"/>
    <xf numFmtId="0" fontId="6" fillId="9" borderId="0" xfId="0" applyFont="1" applyFill="1"/>
    <xf numFmtId="164" fontId="6" fillId="9" borderId="0" xfId="0" applyNumberFormat="1" applyFont="1" applyFill="1"/>
    <xf numFmtId="164" fontId="4" fillId="2" borderId="1" xfId="0" applyNumberFormat="1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5" fillId="0" borderId="1" xfId="0" applyFont="1" applyBorder="1"/>
    <xf numFmtId="164" fontId="5" fillId="0" borderId="1" xfId="0" applyNumberFormat="1" applyFont="1" applyBorder="1"/>
    <xf numFmtId="0" fontId="6" fillId="9" borderId="1" xfId="0" applyFont="1" applyFill="1" applyBorder="1"/>
    <xf numFmtId="164" fontId="6" fillId="9" borderId="1" xfId="0" applyNumberFormat="1" applyFont="1" applyFill="1" applyBorder="1"/>
    <xf numFmtId="0" fontId="6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3" fontId="6" fillId="0" borderId="0" xfId="0" applyNumberFormat="1" applyFont="1"/>
    <xf numFmtId="3" fontId="12" fillId="0" borderId="1" xfId="0" applyNumberFormat="1" applyFont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4">
    <dxf>
      <font>
        <strike/>
        <color rgb="FF808080"/>
      </font>
    </dxf>
    <dxf>
      <fill>
        <patternFill>
          <bgColor rgb="FFE2EFDA"/>
        </patternFill>
      </fill>
    </dxf>
    <dxf>
      <font>
        <strike/>
        <color rgb="FF808080"/>
      </font>
    </dxf>
    <dxf>
      <fill>
        <patternFill>
          <bgColor rgb="FFE2EFDA"/>
        </patternFill>
      </fill>
    </dxf>
    <dxf>
      <font>
        <strike/>
        <color rgb="FF808080"/>
      </font>
    </dxf>
    <dxf>
      <fill>
        <patternFill>
          <bgColor rgb="FFE2EFDA"/>
        </patternFill>
      </fill>
    </dxf>
    <dxf>
      <font>
        <strike/>
        <color rgb="FF808080"/>
      </font>
    </dxf>
    <dxf>
      <fill>
        <patternFill>
          <bgColor rgb="FFE2EFDA"/>
        </patternFill>
      </fill>
    </dxf>
    <dxf>
      <font>
        <strike/>
        <color rgb="FF808080"/>
      </font>
    </dxf>
    <dxf>
      <fill>
        <patternFill>
          <bgColor rgb="FFE2EFDA"/>
        </patternFill>
      </fill>
    </dxf>
    <dxf>
      <font>
        <strike/>
        <color rgb="FF808080"/>
      </font>
    </dxf>
    <dxf>
      <fill>
        <patternFill>
          <bgColor rgb="FFE2EFDA"/>
        </patternFill>
      </fill>
    </dxf>
    <dxf>
      <font>
        <strike/>
        <color rgb="FF808080"/>
      </font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C5CE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F3F0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A"/>
      <rgbColor rgb="FFE2EFDA"/>
      <rgbColor rgb="FFFDF1E7"/>
      <rgbColor rgb="FFF4F4F4"/>
      <rgbColor rgb="FFFF99CC"/>
      <rgbColor rgb="FFCC99FF"/>
      <rgbColor rgb="FFEEF6EA"/>
      <rgbColor rgb="FF3366FF"/>
      <rgbColor rgb="FF33CCCC"/>
      <rgbColor rgb="FF99CC00"/>
      <rgbColor rgb="FFFFCC00"/>
      <rgbColor rgb="FFFF9900"/>
      <rgbColor rgb="FFC55A11"/>
      <rgbColor rgb="FF4B5563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hopee.co.id/search?keyword=kapasitor%20cbb60%208uf" TargetMode="External"/><Relationship Id="rId21" Type="http://schemas.openxmlformats.org/officeDocument/2006/relationships/hyperlink" Target="https://www.tokopedia.com/search?st=product&amp;q=kapasitor%20cbb60%206uf%20450v" TargetMode="External"/><Relationship Id="rId42" Type="http://schemas.openxmlformats.org/officeDocument/2006/relationships/hyperlink" Target="https://shopee.co.id/search?keyword=philips%20halogen%20plusline%20300w%20r7s" TargetMode="External"/><Relationship Id="rId47" Type="http://schemas.openxmlformats.org/officeDocument/2006/relationships/hyperlink" Target="https://www.tokopedia.com/mylavdishop/rcbo-chint-elcb-mcb-1p-n-30ma-6a-10a-16a-20a-25a-cocok-untuk-aplikasi-earth-leakage-circuit-breaker-1730353828317726061" TargetMode="External"/><Relationship Id="rId63" Type="http://schemas.openxmlformats.org/officeDocument/2006/relationships/hyperlink" Target="https://www.tokopedia.com/search?st=product&amp;q=ferrule%20kabel%20set" TargetMode="External"/><Relationship Id="rId68" Type="http://schemas.openxmlformats.org/officeDocument/2006/relationships/hyperlink" Target="https://shopee.co.id/search?keyword=kabel%20utp%20cat5e" TargetMode="External"/><Relationship Id="rId7" Type="http://schemas.openxmlformats.org/officeDocument/2006/relationships/hyperlink" Target="https://www.tokopedia.com/dx-tronics/hi-link-hlk-5m05-ac-to-dc-5v-5w-isolated-adaptor-power-supply-hlk5m05" TargetMode="External"/><Relationship Id="rId71" Type="http://schemas.openxmlformats.org/officeDocument/2006/relationships/hyperlink" Target="https://www.tokopedia.com/search?st=product&amp;q=multimeter%20uni-t%20ut33d%2B" TargetMode="External"/><Relationship Id="rId2" Type="http://schemas.openxmlformats.org/officeDocument/2006/relationships/hyperlink" Target="https://shopee.co.id/search?keyword=chint%20ddsu666%20rs485" TargetMode="External"/><Relationship Id="rId16" Type="http://schemas.openxmlformats.org/officeDocument/2006/relationships/hyperlink" Target="https://shopee.co.id/search?keyword=usb%20to%20rs485%20converter" TargetMode="External"/><Relationship Id="rId29" Type="http://schemas.openxmlformats.org/officeDocument/2006/relationships/hyperlink" Target="https://shop-id.tokopedia.com/pdp/1729603239571654831" TargetMode="External"/><Relationship Id="rId11" Type="http://schemas.openxmlformats.org/officeDocument/2006/relationships/hyperlink" Target="https://www.tokopedia.com/mkontrol/g3mb-202p-5v-dc-ac-ssr-in-5vdc-out-240vac-2a-solid-state-relay-omron" TargetMode="External"/><Relationship Id="rId24" Type="http://schemas.openxmlformats.org/officeDocument/2006/relationships/hyperlink" Target="https://shopee.co.id/search?keyword=kapasitor%20cbb60%204uf" TargetMode="External"/><Relationship Id="rId32" Type="http://schemas.openxmlformats.org/officeDocument/2006/relationships/hyperlink" Target="https://shopee.co.id/search?keyword=fuse%205x20%201a%20slow%20blow" TargetMode="External"/><Relationship Id="rId37" Type="http://schemas.openxmlformats.org/officeDocument/2006/relationships/hyperlink" Target="https://www.tokopedia.com/p-j-e/ballast-philips-bta-36-w-watt-balas-trafo-36w-36watt-220v-c-sc" TargetMode="External"/><Relationship Id="rId40" Type="http://schemas.openxmlformats.org/officeDocument/2006/relationships/hyperlink" Target="https://shopee.co.id/search?keyword=kap%20lampu%20tl%2036%20watt" TargetMode="External"/><Relationship Id="rId45" Type="http://schemas.openxmlformats.org/officeDocument/2006/relationships/hyperlink" Target="https://www.tokopedia.com/search?st=product&amp;q=stop%20kontak%20panel%20din%20rail" TargetMode="External"/><Relationship Id="rId53" Type="http://schemas.openxmlformats.org/officeDocument/2006/relationships/hyperlink" Target="https://www.tokopedia.com/bethaa-storee/box-panel-indoor-custom-pintu-akrilik-30x40-40x30-30-x-40-x-20-1-2mm" TargetMode="External"/><Relationship Id="rId58" Type="http://schemas.openxmlformats.org/officeDocument/2006/relationships/hyperlink" Target="https://shopee.co.id/search?keyword=terminal%20uk2.5b" TargetMode="External"/><Relationship Id="rId66" Type="http://schemas.openxmlformats.org/officeDocument/2006/relationships/hyperlink" Target="https://shopee.co.id/search?keyword=kabel%20jumper%20dupont" TargetMode="External"/><Relationship Id="rId5" Type="http://schemas.openxmlformats.org/officeDocument/2006/relationships/hyperlink" Target="https://www.tokopedia.com/tekno-kreasi-elektronik/max3485-module-ttl-to-rs485-usart-communication" TargetMode="External"/><Relationship Id="rId61" Type="http://schemas.openxmlformats.org/officeDocument/2006/relationships/hyperlink" Target="https://www.tokopedia.com/search?st=product&amp;q=kabel%20nymhy%203x1.5" TargetMode="External"/><Relationship Id="rId19" Type="http://schemas.openxmlformats.org/officeDocument/2006/relationships/hyperlink" Target="https://www.tokopedia.com/search?st=product&amp;q=microsd%2016gb%20sandisk%20class%2010" TargetMode="External"/><Relationship Id="rId14" Type="http://schemas.openxmlformats.org/officeDocument/2006/relationships/hyperlink" Target="https://shopee.co.id/search?keyword=modul%20relay%204%20channel%205v%20optocoupler" TargetMode="External"/><Relationship Id="rId22" Type="http://schemas.openxmlformats.org/officeDocument/2006/relationships/hyperlink" Target="https://shopee.co.id/search?keyword=kapasitor%20cbb60%206uf%20450v" TargetMode="External"/><Relationship Id="rId27" Type="http://schemas.openxmlformats.org/officeDocument/2006/relationships/hyperlink" Target="https://www.tokopedia.com/search?st=product&amp;q=resistor%20100k%201%20watt%20metal%20film" TargetMode="External"/><Relationship Id="rId30" Type="http://schemas.openxmlformats.org/officeDocument/2006/relationships/hyperlink" Target="https://shopee.co.id/search?keyword=fuse%20holder%205x20%20panel" TargetMode="External"/><Relationship Id="rId35" Type="http://schemas.openxmlformats.org/officeDocument/2006/relationships/hyperlink" Target="https://www.tokopedia.com/teknikmart/yama-1-4-hp-1-phase-4-pole-elektro-motor-dinamo" TargetMode="External"/><Relationship Id="rId43" Type="http://schemas.openxmlformats.org/officeDocument/2006/relationships/hyperlink" Target="https://www.tokopedia.com/search?st=product&amp;q=lampu%20sorot%20halogen%20r7s%20118mm" TargetMode="External"/><Relationship Id="rId48" Type="http://schemas.openxmlformats.org/officeDocument/2006/relationships/hyperlink" Target="https://shopee.co.id/search?keyword=rcbo%201p%2Bn%206a%2030ma" TargetMode="External"/><Relationship Id="rId56" Type="http://schemas.openxmlformats.org/officeDocument/2006/relationships/hyperlink" Target="https://shopee.co.id/search?keyword=din%20rail%2035mm" TargetMode="External"/><Relationship Id="rId64" Type="http://schemas.openxmlformats.org/officeDocument/2006/relationships/hyperlink" Target="https://shopee.co.id/search?keyword=ferrule%20set" TargetMode="External"/><Relationship Id="rId69" Type="http://schemas.openxmlformats.org/officeDocument/2006/relationships/hyperlink" Target="https://www.tokopedia.com/didutstore/tang-ampere-uni-t-ut204-ac-dc-true-rms-clamp-meter-ut-204" TargetMode="External"/><Relationship Id="rId8" Type="http://schemas.openxmlformats.org/officeDocument/2006/relationships/hyperlink" Target="https://shopee.co.id/search?keyword=hlk-5m05" TargetMode="External"/><Relationship Id="rId51" Type="http://schemas.openxmlformats.org/officeDocument/2006/relationships/hyperlink" Target="https://www.tokopedia.com/aufadinamikaelektrik/pilot-lamp-led-22mm-lampu-indikator-ad16-22ds-220vac" TargetMode="External"/><Relationship Id="rId72" Type="http://schemas.openxmlformats.org/officeDocument/2006/relationships/hyperlink" Target="https://shopee.co.id/search?keyword=uni-t%20ut33d%2B" TargetMode="External"/><Relationship Id="rId3" Type="http://schemas.openxmlformats.org/officeDocument/2006/relationships/hyperlink" Target="https://www.tokopedia.com/sensorku-bekasi/esp32-esp-32-wroom-32-doit-devkit-v1-usb-c" TargetMode="External"/><Relationship Id="rId12" Type="http://schemas.openxmlformats.org/officeDocument/2006/relationships/hyperlink" Target="https://shopee.co.id/search?keyword=g3mb-202p%205v" TargetMode="External"/><Relationship Id="rId17" Type="http://schemas.openxmlformats.org/officeDocument/2006/relationships/hyperlink" Target="https://www.tokopedia.com/focuscamerashop/microsd-module-for-arduino-3-3v-esp8266-esp32-tf-card-micro-sd-shield" TargetMode="External"/><Relationship Id="rId25" Type="http://schemas.openxmlformats.org/officeDocument/2006/relationships/hyperlink" Target="https://www.tokopedia.com/search?st=product&amp;q=kapasitor%20cbb60%208uf%20450v" TargetMode="External"/><Relationship Id="rId33" Type="http://schemas.openxmlformats.org/officeDocument/2006/relationships/hyperlink" Target="https://www.tokopedia.com/search?st=product&amp;q=fuse%205x20%200.5a" TargetMode="External"/><Relationship Id="rId38" Type="http://schemas.openxmlformats.org/officeDocument/2006/relationships/hyperlink" Target="https://shopee.co.id/search?keyword=ballast%20philips%20bta%2036w" TargetMode="External"/><Relationship Id="rId46" Type="http://schemas.openxmlformats.org/officeDocument/2006/relationships/hyperlink" Target="https://shopee.co.id/search?keyword=stop%20kontak%20panel" TargetMode="External"/><Relationship Id="rId59" Type="http://schemas.openxmlformats.org/officeDocument/2006/relationships/hyperlink" Target="https://www.tokopedia.com/search?st=product&amp;q=kabel%20nyaf%201.5mm" TargetMode="External"/><Relationship Id="rId67" Type="http://schemas.openxmlformats.org/officeDocument/2006/relationships/hyperlink" Target="https://www.tokopedia.com/search?st=product&amp;q=kabel%20utp%20cat5e%20meteran" TargetMode="External"/><Relationship Id="rId20" Type="http://schemas.openxmlformats.org/officeDocument/2006/relationships/hyperlink" Target="https://shopee.co.id/search?keyword=microsd%2016gb%20sandisk" TargetMode="External"/><Relationship Id="rId41" Type="http://schemas.openxmlformats.org/officeDocument/2006/relationships/hyperlink" Target="https://www.tokopedia.com/agenalatlistrik/lampu-philips-halogen-stick-300w-sorot-plusline-230v-r7s-warm-white" TargetMode="External"/><Relationship Id="rId54" Type="http://schemas.openxmlformats.org/officeDocument/2006/relationships/hyperlink" Target="https://shopee.co.id/search?keyword=box%20panel%2030x40%20pintu%20akrilik" TargetMode="External"/><Relationship Id="rId62" Type="http://schemas.openxmlformats.org/officeDocument/2006/relationships/hyperlink" Target="https://shopee.co.id/search?keyword=kabel%20nymhy%203x1.5" TargetMode="External"/><Relationship Id="rId70" Type="http://schemas.openxmlformats.org/officeDocument/2006/relationships/hyperlink" Target="https://shopee.co.id/search?keyword=uni-t%20ut204%2B" TargetMode="External"/><Relationship Id="rId1" Type="http://schemas.openxmlformats.org/officeDocument/2006/relationships/hyperlink" Target="https://www.tokopedia.com/listriknusantara/chint-ddsu666-single-phase-5-80-a-rs485-din-rail-meter-ip2w-220v" TargetMode="External"/><Relationship Id="rId6" Type="http://schemas.openxmlformats.org/officeDocument/2006/relationships/hyperlink" Target="https://shopee.co.id/search?keyword=max3485%20rs485%20module%203.3v" TargetMode="External"/><Relationship Id="rId15" Type="http://schemas.openxmlformats.org/officeDocument/2006/relationships/hyperlink" Target="https://www.tokopedia.com/search?st=product&amp;q=usb%20to%20rs485%20ch340" TargetMode="External"/><Relationship Id="rId23" Type="http://schemas.openxmlformats.org/officeDocument/2006/relationships/hyperlink" Target="https://www.tokopedia.com/search?st=product&amp;q=kapasitor%20cbb60%204uf%20450v" TargetMode="External"/><Relationship Id="rId28" Type="http://schemas.openxmlformats.org/officeDocument/2006/relationships/hyperlink" Target="https://shopee.co.id/search?keyword=resistor%20100k%201w" TargetMode="External"/><Relationship Id="rId36" Type="http://schemas.openxmlformats.org/officeDocument/2006/relationships/hyperlink" Target="https://shopee.co.id/search?keyword=dinamo%201%20phase%201/4%20hp%20yc712-4" TargetMode="External"/><Relationship Id="rId49" Type="http://schemas.openxmlformats.org/officeDocument/2006/relationships/hyperlink" Target="https://www.tokopedia.com/tenako/push-button-emergency-stop-maintained-lock-switch-22mm-tombol-darurat" TargetMode="External"/><Relationship Id="rId57" Type="http://schemas.openxmlformats.org/officeDocument/2006/relationships/hyperlink" Target="https://www.tokopedia.com/search?st=product&amp;q=terminal%20block%20uk2.5b" TargetMode="External"/><Relationship Id="rId10" Type="http://schemas.openxmlformats.org/officeDocument/2006/relationships/hyperlink" Target="https://shopee.co.id/search?keyword=ssr%204%20channel%20omron%20g3mb-202p" TargetMode="External"/><Relationship Id="rId31" Type="http://schemas.openxmlformats.org/officeDocument/2006/relationships/hyperlink" Target="https://www.tokopedia.com/search?st=product&amp;q=fuse%205x20%201a%20slow%20blow" TargetMode="External"/><Relationship Id="rId44" Type="http://schemas.openxmlformats.org/officeDocument/2006/relationships/hyperlink" Target="https://shopee.co.id/search?keyword=lampu%20sorot%20halogen%20500w" TargetMode="External"/><Relationship Id="rId52" Type="http://schemas.openxmlformats.org/officeDocument/2006/relationships/hyperlink" Target="https://shopee.co.id/search?keyword=pilot%20lamp%20ad16-22ds%20220v" TargetMode="External"/><Relationship Id="rId60" Type="http://schemas.openxmlformats.org/officeDocument/2006/relationships/hyperlink" Target="https://shopee.co.id/search?keyword=kabel%20nyaf%201.5" TargetMode="External"/><Relationship Id="rId65" Type="http://schemas.openxmlformats.org/officeDocument/2006/relationships/hyperlink" Target="https://www.tokopedia.com/search?st=product&amp;q=kabel%20jumper%20dupont%20set" TargetMode="External"/><Relationship Id="rId4" Type="http://schemas.openxmlformats.org/officeDocument/2006/relationships/hyperlink" Target="https://shopee.co.id/search?keyword=esp32%20devkit%20v1%20wroom%2032%20type%20c" TargetMode="External"/><Relationship Id="rId9" Type="http://schemas.openxmlformats.org/officeDocument/2006/relationships/hyperlink" Target="https://www.tokopedia.com/search?st=product&amp;q=ssr%204%20channel%20g3mb-202p%20high%20level" TargetMode="External"/><Relationship Id="rId13" Type="http://schemas.openxmlformats.org/officeDocument/2006/relationships/hyperlink" Target="https://www.tokopedia.com/aifrobotic/4-channel-relay-module-5v-optocoupler" TargetMode="External"/><Relationship Id="rId18" Type="http://schemas.openxmlformats.org/officeDocument/2006/relationships/hyperlink" Target="https://shopee.co.id/search?keyword=micro%20sd%20card%20module%20spi%20arduino" TargetMode="External"/><Relationship Id="rId39" Type="http://schemas.openxmlformats.org/officeDocument/2006/relationships/hyperlink" Target="https://www.tokopedia.com/search?st=product&amp;q=kap%20lampu%20tl%201x36%20watt" TargetMode="External"/><Relationship Id="rId34" Type="http://schemas.openxmlformats.org/officeDocument/2006/relationships/hyperlink" Target="https://shopee.co.id/search?keyword=fuse%205x20%20500ma" TargetMode="External"/><Relationship Id="rId50" Type="http://schemas.openxmlformats.org/officeDocument/2006/relationships/hyperlink" Target="https://shopee.co.id/search?keyword=emergency%20stop%2022mm" TargetMode="External"/><Relationship Id="rId55" Type="http://schemas.openxmlformats.org/officeDocument/2006/relationships/hyperlink" Target="https://www.tokopedia.com/search?st=product&amp;q=rel%20din%2035mm%201%20mete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co.id/search?keyword=resistor%20100k%201w" TargetMode="External"/><Relationship Id="rId13" Type="http://schemas.openxmlformats.org/officeDocument/2006/relationships/hyperlink" Target="https://www.tokopedia.com/teknikmart/yama-1-4-hp-1-phase-4-pole-elektro-motor-dinamo" TargetMode="External"/><Relationship Id="rId18" Type="http://schemas.openxmlformats.org/officeDocument/2006/relationships/hyperlink" Target="https://shopee.co.id/search?keyword=box%20panel%2030x40%20pintu%20akrilik" TargetMode="External"/><Relationship Id="rId26" Type="http://schemas.openxmlformats.org/officeDocument/2006/relationships/hyperlink" Target="https://shopee.co.id/search?keyword=kabel%20nymhy%203x1.5" TargetMode="External"/><Relationship Id="rId3" Type="http://schemas.openxmlformats.org/officeDocument/2006/relationships/hyperlink" Target="https://www.tokopedia.com/search?st=product&amp;q=usb%20to%20rs485%20ch340" TargetMode="External"/><Relationship Id="rId21" Type="http://schemas.openxmlformats.org/officeDocument/2006/relationships/hyperlink" Target="https://www.tokopedia.com/search?st=product&amp;q=terminal%20block%20uk2.5b" TargetMode="External"/><Relationship Id="rId7" Type="http://schemas.openxmlformats.org/officeDocument/2006/relationships/hyperlink" Target="https://www.tokopedia.com/search?st=product&amp;q=resistor%20100k%201%20watt%20metal%20film" TargetMode="External"/><Relationship Id="rId12" Type="http://schemas.openxmlformats.org/officeDocument/2006/relationships/hyperlink" Target="https://shopee.co.id/search?keyword=fuse%205x20%201a%20slow%20blow" TargetMode="External"/><Relationship Id="rId17" Type="http://schemas.openxmlformats.org/officeDocument/2006/relationships/hyperlink" Target="https://www.tokopedia.com/bethaa-storee/box-panel-indoor-custom-pintu-akrilik-30x40-40x30-30-x-40-x-20-1-2mm" TargetMode="External"/><Relationship Id="rId25" Type="http://schemas.openxmlformats.org/officeDocument/2006/relationships/hyperlink" Target="https://www.tokopedia.com/search?st=product&amp;q=kabel%20nymhy%203x1.5" TargetMode="External"/><Relationship Id="rId2" Type="http://schemas.openxmlformats.org/officeDocument/2006/relationships/hyperlink" Target="https://shopee.co.id/search?keyword=chint%20ddsu666%20rs485" TargetMode="External"/><Relationship Id="rId16" Type="http://schemas.openxmlformats.org/officeDocument/2006/relationships/hyperlink" Target="https://shopee.co.id/search?keyword=rcbo%201p%2Bn%206a%2030ma" TargetMode="External"/><Relationship Id="rId20" Type="http://schemas.openxmlformats.org/officeDocument/2006/relationships/hyperlink" Target="https://shopee.co.id/search?keyword=din%20rail%2035mm" TargetMode="External"/><Relationship Id="rId1" Type="http://schemas.openxmlformats.org/officeDocument/2006/relationships/hyperlink" Target="https://www.tokopedia.com/listriknusantara/chint-ddsu666-single-phase-5-80-a-rs485-din-rail-meter-ip2w-220v" TargetMode="External"/><Relationship Id="rId6" Type="http://schemas.openxmlformats.org/officeDocument/2006/relationships/hyperlink" Target="https://shopee.co.id/search?keyword=kapasitor%20cbb60%206uf%20450v" TargetMode="External"/><Relationship Id="rId11" Type="http://schemas.openxmlformats.org/officeDocument/2006/relationships/hyperlink" Target="https://www.tokopedia.com/search?st=product&amp;q=fuse%205x20%201a%20slow%20blow" TargetMode="External"/><Relationship Id="rId24" Type="http://schemas.openxmlformats.org/officeDocument/2006/relationships/hyperlink" Target="https://shopee.co.id/search?keyword=kabel%20nyaf%201.5" TargetMode="External"/><Relationship Id="rId5" Type="http://schemas.openxmlformats.org/officeDocument/2006/relationships/hyperlink" Target="https://www.tokopedia.com/search?st=product&amp;q=kapasitor%20cbb60%206uf%20450v" TargetMode="External"/><Relationship Id="rId15" Type="http://schemas.openxmlformats.org/officeDocument/2006/relationships/hyperlink" Target="https://www.tokopedia.com/mylavdishop/rcbo-chint-elcb-mcb-1p-n-30ma-6a-10a-16a-20a-25a-cocok-untuk-aplikasi-earth-leakage-circuit-breaker-1730353828317726061" TargetMode="External"/><Relationship Id="rId23" Type="http://schemas.openxmlformats.org/officeDocument/2006/relationships/hyperlink" Target="https://www.tokopedia.com/search?st=product&amp;q=kabel%20nyaf%201.5mm" TargetMode="External"/><Relationship Id="rId28" Type="http://schemas.openxmlformats.org/officeDocument/2006/relationships/hyperlink" Target="https://shopee.co.id/search?keyword=uni-t%20ut33d%2B" TargetMode="External"/><Relationship Id="rId10" Type="http://schemas.openxmlformats.org/officeDocument/2006/relationships/hyperlink" Target="https://shopee.co.id/search?keyword=fuse%20holder%205x20%20panel" TargetMode="External"/><Relationship Id="rId19" Type="http://schemas.openxmlformats.org/officeDocument/2006/relationships/hyperlink" Target="https://www.tokopedia.com/search?st=product&amp;q=rel%20din%2035mm%201%20meter" TargetMode="External"/><Relationship Id="rId4" Type="http://schemas.openxmlformats.org/officeDocument/2006/relationships/hyperlink" Target="https://shopee.co.id/search?keyword=usb%20to%20rs485%20converter" TargetMode="External"/><Relationship Id="rId9" Type="http://schemas.openxmlformats.org/officeDocument/2006/relationships/hyperlink" Target="https://shop-id.tokopedia.com/pdp/1729603239571654831" TargetMode="External"/><Relationship Id="rId14" Type="http://schemas.openxmlformats.org/officeDocument/2006/relationships/hyperlink" Target="https://shopee.co.id/search?keyword=dinamo%201%20phase%201/4%20hp%20yc712-4" TargetMode="External"/><Relationship Id="rId22" Type="http://schemas.openxmlformats.org/officeDocument/2006/relationships/hyperlink" Target="https://shopee.co.id/search?keyword=terminal%20uk2.5b" TargetMode="External"/><Relationship Id="rId27" Type="http://schemas.openxmlformats.org/officeDocument/2006/relationships/hyperlink" Target="https://www.tokopedia.com/search?st=product&amp;q=multimeter%20uni-t%20ut33d%2B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co.id/search?keyword=ssr%204%20channel%20omron%20g3mb-202p" TargetMode="External"/><Relationship Id="rId13" Type="http://schemas.openxmlformats.org/officeDocument/2006/relationships/hyperlink" Target="https://www.tokopedia.com/search?st=product&amp;q=kapasitor%20cbb60%208uf%20450v" TargetMode="External"/><Relationship Id="rId18" Type="http://schemas.openxmlformats.org/officeDocument/2006/relationships/hyperlink" Target="https://shopee.co.id/search?keyword=philips%20halogen%20plusline%20300w%20r7s" TargetMode="External"/><Relationship Id="rId26" Type="http://schemas.openxmlformats.org/officeDocument/2006/relationships/hyperlink" Target="https://shopee.co.id/search?keyword=ferrule%20set" TargetMode="External"/><Relationship Id="rId3" Type="http://schemas.openxmlformats.org/officeDocument/2006/relationships/hyperlink" Target="https://www.tokopedia.com/tekno-kreasi-elektronik/max3485-module-ttl-to-rs485-usart-communication" TargetMode="External"/><Relationship Id="rId21" Type="http://schemas.openxmlformats.org/officeDocument/2006/relationships/hyperlink" Target="https://www.tokopedia.com/search?st=product&amp;q=stop%20kontak%20panel%20din%20rail" TargetMode="External"/><Relationship Id="rId7" Type="http://schemas.openxmlformats.org/officeDocument/2006/relationships/hyperlink" Target="https://www.tokopedia.com/search?st=product&amp;q=ssr%204%20channel%20g3mb-202p%20high%20level" TargetMode="External"/><Relationship Id="rId12" Type="http://schemas.openxmlformats.org/officeDocument/2006/relationships/hyperlink" Target="https://shopee.co.id/search?keyword=kapasitor%20cbb60%204uf" TargetMode="External"/><Relationship Id="rId17" Type="http://schemas.openxmlformats.org/officeDocument/2006/relationships/hyperlink" Target="https://www.tokopedia.com/agenalatlistrik/lampu-philips-halogen-stick-300w-sorot-plusline-230v-r7s-warm-white" TargetMode="External"/><Relationship Id="rId25" Type="http://schemas.openxmlformats.org/officeDocument/2006/relationships/hyperlink" Target="https://www.tokopedia.com/search?st=product&amp;q=ferrule%20kabel%20set" TargetMode="External"/><Relationship Id="rId2" Type="http://schemas.openxmlformats.org/officeDocument/2006/relationships/hyperlink" Target="https://shopee.co.id/search?keyword=esp32%20devkit%20v1%20wroom%2032%20type%20c" TargetMode="External"/><Relationship Id="rId16" Type="http://schemas.openxmlformats.org/officeDocument/2006/relationships/hyperlink" Target="https://shopee.co.id/search?keyword=fuse%205x20%20500ma" TargetMode="External"/><Relationship Id="rId20" Type="http://schemas.openxmlformats.org/officeDocument/2006/relationships/hyperlink" Target="https://shopee.co.id/search?keyword=lampu%20sorot%20halogen%20500w" TargetMode="External"/><Relationship Id="rId29" Type="http://schemas.openxmlformats.org/officeDocument/2006/relationships/hyperlink" Target="https://www.tokopedia.com/search?st=product&amp;q=kabel%20utp%20cat5e%20meteran" TargetMode="External"/><Relationship Id="rId1" Type="http://schemas.openxmlformats.org/officeDocument/2006/relationships/hyperlink" Target="https://www.tokopedia.com/sensorku-bekasi/esp32-esp-32-wroom-32-doit-devkit-v1-usb-c" TargetMode="External"/><Relationship Id="rId6" Type="http://schemas.openxmlformats.org/officeDocument/2006/relationships/hyperlink" Target="https://shopee.co.id/search?keyword=hlk-5m05" TargetMode="External"/><Relationship Id="rId11" Type="http://schemas.openxmlformats.org/officeDocument/2006/relationships/hyperlink" Target="https://www.tokopedia.com/search?st=product&amp;q=kapasitor%20cbb60%204uf%20450v" TargetMode="External"/><Relationship Id="rId24" Type="http://schemas.openxmlformats.org/officeDocument/2006/relationships/hyperlink" Target="https://shopee.co.id/search?keyword=emergency%20stop%2022mm" TargetMode="External"/><Relationship Id="rId5" Type="http://schemas.openxmlformats.org/officeDocument/2006/relationships/hyperlink" Target="https://www.tokopedia.com/dx-tronics/hi-link-hlk-5m05-ac-to-dc-5v-5w-isolated-adaptor-power-supply-hlk5m05" TargetMode="External"/><Relationship Id="rId15" Type="http://schemas.openxmlformats.org/officeDocument/2006/relationships/hyperlink" Target="https://www.tokopedia.com/search?st=product&amp;q=fuse%205x20%200.5a" TargetMode="External"/><Relationship Id="rId23" Type="http://schemas.openxmlformats.org/officeDocument/2006/relationships/hyperlink" Target="https://www.tokopedia.com/tenako/push-button-emergency-stop-maintained-lock-switch-22mm-tombol-darurat" TargetMode="External"/><Relationship Id="rId28" Type="http://schemas.openxmlformats.org/officeDocument/2006/relationships/hyperlink" Target="https://shopee.co.id/search?keyword=kabel%20jumper%20dupont" TargetMode="External"/><Relationship Id="rId10" Type="http://schemas.openxmlformats.org/officeDocument/2006/relationships/hyperlink" Target="https://shopee.co.id/search?keyword=modul%20relay%204%20channel%205v%20optocoupler" TargetMode="External"/><Relationship Id="rId19" Type="http://schemas.openxmlformats.org/officeDocument/2006/relationships/hyperlink" Target="https://www.tokopedia.com/search?st=product&amp;q=lampu%20sorot%20halogen%20r7s%20118mm" TargetMode="External"/><Relationship Id="rId4" Type="http://schemas.openxmlformats.org/officeDocument/2006/relationships/hyperlink" Target="https://shopee.co.id/search?keyword=max3485%20rs485%20module%203.3v" TargetMode="External"/><Relationship Id="rId9" Type="http://schemas.openxmlformats.org/officeDocument/2006/relationships/hyperlink" Target="https://www.tokopedia.com/aifrobotic/4-channel-relay-module-5v-optocoupler" TargetMode="External"/><Relationship Id="rId14" Type="http://schemas.openxmlformats.org/officeDocument/2006/relationships/hyperlink" Target="https://shopee.co.id/search?keyword=kapasitor%20cbb60%208uf" TargetMode="External"/><Relationship Id="rId22" Type="http://schemas.openxmlformats.org/officeDocument/2006/relationships/hyperlink" Target="https://shopee.co.id/search?keyword=stop%20kontak%20panel" TargetMode="External"/><Relationship Id="rId27" Type="http://schemas.openxmlformats.org/officeDocument/2006/relationships/hyperlink" Target="https://www.tokopedia.com/search?st=product&amp;q=kabel%20jumper%20dupont%20set" TargetMode="External"/><Relationship Id="rId30" Type="http://schemas.openxmlformats.org/officeDocument/2006/relationships/hyperlink" Target="https://shopee.co.id/search?keyword=kabel%20utp%20cat5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co.id/search?keyword=ballast%20philips%20bta%2036w" TargetMode="External"/><Relationship Id="rId13" Type="http://schemas.openxmlformats.org/officeDocument/2006/relationships/hyperlink" Target="https://www.tokopedia.com/didutstore/tang-ampere-uni-t-ut204-ac-dc-true-rms-clamp-meter-ut-204" TargetMode="External"/><Relationship Id="rId3" Type="http://schemas.openxmlformats.org/officeDocument/2006/relationships/hyperlink" Target="https://www.tokopedia.com/focuscamerashop/microsd-module-for-arduino-3-3v-esp8266-esp32-tf-card-micro-sd-shield" TargetMode="External"/><Relationship Id="rId7" Type="http://schemas.openxmlformats.org/officeDocument/2006/relationships/hyperlink" Target="https://www.tokopedia.com/p-j-e/ballast-philips-bta-36-w-watt-balas-trafo-36w-36watt-220v-c-sc" TargetMode="External"/><Relationship Id="rId12" Type="http://schemas.openxmlformats.org/officeDocument/2006/relationships/hyperlink" Target="https://shopee.co.id/search?keyword=pilot%20lamp%20ad16-22ds%20220v" TargetMode="External"/><Relationship Id="rId2" Type="http://schemas.openxmlformats.org/officeDocument/2006/relationships/hyperlink" Target="https://shopee.co.id/search?keyword=g3mb-202p%205v" TargetMode="External"/><Relationship Id="rId1" Type="http://schemas.openxmlformats.org/officeDocument/2006/relationships/hyperlink" Target="https://www.tokopedia.com/mkontrol/g3mb-202p-5v-dc-ac-ssr-in-5vdc-out-240vac-2a-solid-state-relay-omron" TargetMode="External"/><Relationship Id="rId6" Type="http://schemas.openxmlformats.org/officeDocument/2006/relationships/hyperlink" Target="https://shopee.co.id/search?keyword=microsd%2016gb%20sandisk" TargetMode="External"/><Relationship Id="rId11" Type="http://schemas.openxmlformats.org/officeDocument/2006/relationships/hyperlink" Target="https://www.tokopedia.com/aufadinamikaelektrik/pilot-lamp-led-22mm-lampu-indikator-ad16-22ds-220vac" TargetMode="External"/><Relationship Id="rId5" Type="http://schemas.openxmlformats.org/officeDocument/2006/relationships/hyperlink" Target="https://www.tokopedia.com/search?st=product&amp;q=microsd%2016gb%20sandisk%20class%2010" TargetMode="External"/><Relationship Id="rId10" Type="http://schemas.openxmlformats.org/officeDocument/2006/relationships/hyperlink" Target="https://shopee.co.id/search?keyword=kap%20lampu%20tl%2036%20watt" TargetMode="External"/><Relationship Id="rId4" Type="http://schemas.openxmlformats.org/officeDocument/2006/relationships/hyperlink" Target="https://shopee.co.id/search?keyword=micro%20sd%20card%20module%20spi%20arduino" TargetMode="External"/><Relationship Id="rId9" Type="http://schemas.openxmlformats.org/officeDocument/2006/relationships/hyperlink" Target="https://www.tokopedia.com/search?st=product&amp;q=kap%20lampu%20tl%201x36%20watt" TargetMode="External"/><Relationship Id="rId14" Type="http://schemas.openxmlformats.org/officeDocument/2006/relationships/hyperlink" Target="https://shopee.co.id/search?keyword=uni-t%20ut204%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6"/>
  <sheetViews>
    <sheetView tabSelected="1" zoomScale="70" zoomScaleNormal="70" workbookViewId="0">
      <pane xSplit="3" ySplit="4" topLeftCell="F5" activePane="bottomRight" state="frozen"/>
      <selection pane="topRight" activeCell="D1" sqref="D1"/>
      <selection pane="bottomLeft" activeCell="A5" sqref="A5"/>
      <selection pane="bottomRight" activeCell="O44" sqref="O44"/>
    </sheetView>
  </sheetViews>
  <sheetFormatPr defaultColWidth="8.6328125" defaultRowHeight="14.5" x14ac:dyDescent="0.35"/>
  <cols>
    <col min="1" max="1" width="5" customWidth="1"/>
    <col min="2" max="2" width="20" customWidth="1"/>
    <col min="3" max="3" width="28" customWidth="1"/>
    <col min="4" max="4" width="40" customWidth="1"/>
    <col min="5" max="5" width="36" customWidth="1"/>
    <col min="6" max="6" width="6" customWidth="1"/>
    <col min="7" max="7" width="8" customWidth="1"/>
    <col min="8" max="9" width="14" customWidth="1"/>
    <col min="10" max="11" width="15" customWidth="1"/>
    <col min="12" max="12" width="17" customWidth="1"/>
    <col min="13" max="13" width="22" customWidth="1"/>
    <col min="14" max="14" width="14.6328125" customWidth="1"/>
    <col min="15" max="16" width="14" customWidth="1"/>
    <col min="17" max="17" width="12" customWidth="1"/>
    <col min="18" max="18" width="52" customWidth="1"/>
    <col min="19" max="19" width="9" customWidth="1"/>
  </cols>
  <sheetData>
    <row r="1" spans="1:19" ht="17.25" customHeight="1" x14ac:dyDescent="0.4">
      <c r="A1" s="1" t="s">
        <v>0</v>
      </c>
    </row>
    <row r="2" spans="1:19" ht="27.75" customHeight="1" x14ac:dyDescent="0.35">
      <c r="A2" s="61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spans="1:19" x14ac:dyDescent="0.35">
      <c r="A3" s="2" t="s">
        <v>2</v>
      </c>
    </row>
    <row r="4" spans="1:19" ht="31.5" customHeight="1" x14ac:dyDescent="0.3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294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 ht="34.5" customHeight="1" x14ac:dyDescent="0.35">
      <c r="A5" s="4">
        <v>1</v>
      </c>
      <c r="B5" s="5" t="s">
        <v>21</v>
      </c>
      <c r="C5" s="6" t="s">
        <v>22</v>
      </c>
      <c r="D5" s="7" t="s">
        <v>23</v>
      </c>
      <c r="E5" s="7" t="s">
        <v>24</v>
      </c>
      <c r="F5" s="8">
        <v>1</v>
      </c>
      <c r="G5" s="7" t="s">
        <v>25</v>
      </c>
      <c r="H5" s="9">
        <v>720000</v>
      </c>
      <c r="I5" s="9">
        <v>800000</v>
      </c>
      <c r="J5" s="10">
        <f t="shared" ref="J5:J41" si="0">IF(O5="Sudah punya",0,F5*H5)</f>
        <v>720000</v>
      </c>
      <c r="K5" s="10">
        <f t="shared" ref="K5:K41" si="1">IF(O5="Sudah punya",0,F5*I5)</f>
        <v>800000</v>
      </c>
      <c r="L5" s="11" t="s">
        <v>26</v>
      </c>
      <c r="M5" s="7" t="s">
        <v>27</v>
      </c>
      <c r="N5" s="10">
        <v>329999</v>
      </c>
      <c r="O5" s="12" t="s">
        <v>264</v>
      </c>
      <c r="P5" s="13" t="s">
        <v>29</v>
      </c>
      <c r="Q5" s="13" t="s">
        <v>30</v>
      </c>
      <c r="R5" s="7" t="s">
        <v>31</v>
      </c>
      <c r="S5" s="14">
        <v>1</v>
      </c>
    </row>
    <row r="6" spans="1:19" ht="23.25" customHeight="1" x14ac:dyDescent="0.35">
      <c r="A6" s="4">
        <v>2</v>
      </c>
      <c r="B6" s="5" t="s">
        <v>21</v>
      </c>
      <c r="C6" s="6" t="s">
        <v>32</v>
      </c>
      <c r="D6" s="7" t="s">
        <v>33</v>
      </c>
      <c r="E6" s="7" t="s">
        <v>34</v>
      </c>
      <c r="F6" s="8">
        <v>2</v>
      </c>
      <c r="G6" s="7" t="s">
        <v>25</v>
      </c>
      <c r="H6" s="9">
        <v>65000</v>
      </c>
      <c r="I6" s="9">
        <v>100000</v>
      </c>
      <c r="J6" s="10">
        <f t="shared" si="0"/>
        <v>0</v>
      </c>
      <c r="K6" s="10">
        <f t="shared" si="1"/>
        <v>0</v>
      </c>
      <c r="L6" s="11" t="s">
        <v>35</v>
      </c>
      <c r="M6" s="7" t="s">
        <v>27</v>
      </c>
      <c r="N6" s="10"/>
      <c r="O6" s="12" t="s">
        <v>265</v>
      </c>
      <c r="P6" s="13" t="s">
        <v>29</v>
      </c>
      <c r="Q6" s="13" t="s">
        <v>30</v>
      </c>
      <c r="R6" s="7" t="s">
        <v>36</v>
      </c>
      <c r="S6" s="14">
        <v>2</v>
      </c>
    </row>
    <row r="7" spans="1:19" ht="23.25" customHeight="1" x14ac:dyDescent="0.35">
      <c r="A7" s="4">
        <v>3</v>
      </c>
      <c r="B7" s="5" t="s">
        <v>21</v>
      </c>
      <c r="C7" s="6" t="s">
        <v>37</v>
      </c>
      <c r="D7" s="7" t="s">
        <v>38</v>
      </c>
      <c r="E7" s="7" t="s">
        <v>39</v>
      </c>
      <c r="F7" s="8">
        <v>2</v>
      </c>
      <c r="G7" s="7" t="s">
        <v>25</v>
      </c>
      <c r="H7" s="9">
        <v>33000</v>
      </c>
      <c r="I7" s="9">
        <v>93000</v>
      </c>
      <c r="J7" s="10">
        <f t="shared" si="0"/>
        <v>66000</v>
      </c>
      <c r="K7" s="10">
        <f t="shared" si="1"/>
        <v>186000</v>
      </c>
      <c r="L7" s="11" t="s">
        <v>35</v>
      </c>
      <c r="M7" s="7" t="s">
        <v>27</v>
      </c>
      <c r="N7" s="10">
        <v>136532</v>
      </c>
      <c r="O7" s="12" t="s">
        <v>264</v>
      </c>
      <c r="P7" s="13" t="s">
        <v>29</v>
      </c>
      <c r="Q7" s="13" t="s">
        <v>30</v>
      </c>
      <c r="R7" s="7" t="s">
        <v>40</v>
      </c>
      <c r="S7" s="14">
        <v>2</v>
      </c>
    </row>
    <row r="8" spans="1:19" ht="23.25" customHeight="1" x14ac:dyDescent="0.35">
      <c r="A8" s="4">
        <v>4</v>
      </c>
      <c r="B8" s="5" t="s">
        <v>21</v>
      </c>
      <c r="C8" s="6" t="s">
        <v>41</v>
      </c>
      <c r="D8" s="7" t="s">
        <v>42</v>
      </c>
      <c r="E8" s="7" t="s">
        <v>43</v>
      </c>
      <c r="F8" s="8">
        <v>2</v>
      </c>
      <c r="G8" s="7" t="s">
        <v>25</v>
      </c>
      <c r="H8" s="9">
        <v>39000</v>
      </c>
      <c r="I8" s="9">
        <v>58000</v>
      </c>
      <c r="J8" s="10">
        <f t="shared" si="0"/>
        <v>78000</v>
      </c>
      <c r="K8" s="10">
        <f t="shared" si="1"/>
        <v>116000</v>
      </c>
      <c r="L8" s="11" t="s">
        <v>35</v>
      </c>
      <c r="M8" s="7" t="s">
        <v>27</v>
      </c>
      <c r="N8" s="10">
        <v>58500</v>
      </c>
      <c r="O8" s="12" t="s">
        <v>264</v>
      </c>
      <c r="P8" s="13" t="s">
        <v>29</v>
      </c>
      <c r="Q8" s="13" t="s">
        <v>30</v>
      </c>
      <c r="R8" s="7" t="s">
        <v>44</v>
      </c>
      <c r="S8" s="14">
        <v>2</v>
      </c>
    </row>
    <row r="9" spans="1:19" ht="23.25" customHeight="1" x14ac:dyDescent="0.35">
      <c r="A9" s="4"/>
      <c r="B9" s="5" t="s">
        <v>21</v>
      </c>
      <c r="C9" s="6" t="s">
        <v>296</v>
      </c>
      <c r="D9" s="7"/>
      <c r="E9" s="7"/>
      <c r="F9" s="8"/>
      <c r="G9" s="7"/>
      <c r="H9" s="9"/>
      <c r="I9" s="9"/>
      <c r="J9" s="10"/>
      <c r="K9" s="10"/>
      <c r="L9" s="11"/>
      <c r="M9" s="7"/>
      <c r="N9" s="10">
        <v>30000</v>
      </c>
      <c r="O9" s="12" t="s">
        <v>264</v>
      </c>
      <c r="P9" s="13"/>
      <c r="Q9" s="13"/>
      <c r="R9" s="7"/>
      <c r="S9" s="14"/>
    </row>
    <row r="10" spans="1:19" ht="23.25" customHeight="1" x14ac:dyDescent="0.35">
      <c r="A10" s="4">
        <v>5</v>
      </c>
      <c r="B10" s="5" t="s">
        <v>21</v>
      </c>
      <c r="C10" s="6" t="s">
        <v>45</v>
      </c>
      <c r="D10" s="7" t="s">
        <v>46</v>
      </c>
      <c r="E10" s="7" t="s">
        <v>47</v>
      </c>
      <c r="F10" s="8">
        <v>1</v>
      </c>
      <c r="G10" s="7" t="s">
        <v>25</v>
      </c>
      <c r="H10" s="9">
        <v>80000</v>
      </c>
      <c r="I10" s="9">
        <v>90000</v>
      </c>
      <c r="J10" s="10">
        <f t="shared" si="0"/>
        <v>80000</v>
      </c>
      <c r="K10" s="10">
        <f t="shared" si="1"/>
        <v>90000</v>
      </c>
      <c r="L10" s="11" t="s">
        <v>26</v>
      </c>
      <c r="M10" s="7" t="s">
        <v>27</v>
      </c>
      <c r="N10" s="10">
        <v>60250</v>
      </c>
      <c r="O10" s="12" t="s">
        <v>264</v>
      </c>
      <c r="P10" s="13" t="s">
        <v>29</v>
      </c>
      <c r="Q10" s="13" t="s">
        <v>30</v>
      </c>
      <c r="R10" s="7" t="s">
        <v>48</v>
      </c>
      <c r="S10" s="14">
        <v>2</v>
      </c>
    </row>
    <row r="11" spans="1:19" ht="23.25" customHeight="1" x14ac:dyDescent="0.35">
      <c r="A11" s="4">
        <v>6</v>
      </c>
      <c r="B11" s="5" t="s">
        <v>21</v>
      </c>
      <c r="C11" s="6" t="s">
        <v>49</v>
      </c>
      <c r="D11" s="7" t="s">
        <v>50</v>
      </c>
      <c r="E11" s="7" t="s">
        <v>51</v>
      </c>
      <c r="F11" s="8">
        <v>2</v>
      </c>
      <c r="G11" s="7" t="s">
        <v>52</v>
      </c>
      <c r="H11" s="9">
        <v>15000</v>
      </c>
      <c r="I11" s="9">
        <v>20000</v>
      </c>
      <c r="J11" s="10">
        <f t="shared" si="0"/>
        <v>30000</v>
      </c>
      <c r="K11" s="10">
        <f t="shared" si="1"/>
        <v>40000</v>
      </c>
      <c r="L11" s="7" t="s">
        <v>53</v>
      </c>
      <c r="M11" s="7" t="s">
        <v>27</v>
      </c>
      <c r="N11" s="10">
        <v>72000</v>
      </c>
      <c r="O11" s="12" t="s">
        <v>264</v>
      </c>
      <c r="P11" s="13" t="s">
        <v>29</v>
      </c>
      <c r="Q11" s="13" t="s">
        <v>30</v>
      </c>
      <c r="R11" s="7" t="s">
        <v>54</v>
      </c>
      <c r="S11" s="14">
        <v>3</v>
      </c>
    </row>
    <row r="12" spans="1:19" ht="23.25" customHeight="1" x14ac:dyDescent="0.35">
      <c r="A12" s="4">
        <v>7</v>
      </c>
      <c r="B12" s="5" t="s">
        <v>21</v>
      </c>
      <c r="C12" s="6" t="s">
        <v>55</v>
      </c>
      <c r="D12" s="7" t="s">
        <v>56</v>
      </c>
      <c r="E12" s="7" t="s">
        <v>57</v>
      </c>
      <c r="F12" s="8">
        <v>1</v>
      </c>
      <c r="G12" s="7" t="s">
        <v>25</v>
      </c>
      <c r="H12" s="9">
        <v>25000</v>
      </c>
      <c r="I12" s="9">
        <v>40000</v>
      </c>
      <c r="J12" s="10">
        <f t="shared" si="0"/>
        <v>25000</v>
      </c>
      <c r="K12" s="10">
        <f t="shared" si="1"/>
        <v>40000</v>
      </c>
      <c r="L12" s="11" t="s">
        <v>26</v>
      </c>
      <c r="M12" s="7" t="s">
        <v>27</v>
      </c>
      <c r="N12" s="10">
        <v>35500</v>
      </c>
      <c r="O12" s="12" t="s">
        <v>264</v>
      </c>
      <c r="P12" s="13" t="s">
        <v>29</v>
      </c>
      <c r="Q12" s="13" t="s">
        <v>30</v>
      </c>
      <c r="R12" s="7" t="s">
        <v>58</v>
      </c>
      <c r="S12" s="14">
        <v>2</v>
      </c>
    </row>
    <row r="13" spans="1:19" ht="23.25" customHeight="1" x14ac:dyDescent="0.35">
      <c r="A13" s="4">
        <v>8</v>
      </c>
      <c r="B13" s="5" t="s">
        <v>21</v>
      </c>
      <c r="C13" s="6" t="s">
        <v>59</v>
      </c>
      <c r="D13" s="7" t="s">
        <v>60</v>
      </c>
      <c r="E13" s="7" t="s">
        <v>61</v>
      </c>
      <c r="F13" s="8">
        <v>1</v>
      </c>
      <c r="G13" s="7" t="s">
        <v>25</v>
      </c>
      <c r="H13" s="9">
        <v>15000</v>
      </c>
      <c r="I13" s="9">
        <v>30000</v>
      </c>
      <c r="J13" s="10">
        <f t="shared" si="0"/>
        <v>15000</v>
      </c>
      <c r="K13" s="10">
        <f t="shared" si="1"/>
        <v>30000</v>
      </c>
      <c r="L13" s="7" t="s">
        <v>62</v>
      </c>
      <c r="M13" s="7" t="s">
        <v>27</v>
      </c>
      <c r="N13" s="10">
        <v>37000</v>
      </c>
      <c r="O13" s="12" t="s">
        <v>264</v>
      </c>
      <c r="P13" s="13" t="s">
        <v>29</v>
      </c>
      <c r="Q13" s="13" t="s">
        <v>30</v>
      </c>
      <c r="R13" s="7" t="s">
        <v>63</v>
      </c>
      <c r="S13" s="14">
        <v>1</v>
      </c>
    </row>
    <row r="14" spans="1:19" ht="23.25" customHeight="1" x14ac:dyDescent="0.35">
      <c r="A14" s="4">
        <v>9</v>
      </c>
      <c r="B14" s="5" t="s">
        <v>21</v>
      </c>
      <c r="C14" s="6" t="s">
        <v>64</v>
      </c>
      <c r="D14" s="7" t="s">
        <v>65</v>
      </c>
      <c r="E14" s="7" t="s">
        <v>66</v>
      </c>
      <c r="F14" s="8">
        <v>1</v>
      </c>
      <c r="G14" s="7" t="s">
        <v>25</v>
      </c>
      <c r="H14" s="9">
        <v>10000</v>
      </c>
      <c r="I14" s="9">
        <v>25000</v>
      </c>
      <c r="J14" s="10">
        <f t="shared" si="0"/>
        <v>10000</v>
      </c>
      <c r="K14" s="10">
        <f t="shared" si="1"/>
        <v>25000</v>
      </c>
      <c r="L14" s="7" t="s">
        <v>62</v>
      </c>
      <c r="M14" s="7" t="s">
        <v>27</v>
      </c>
      <c r="N14" s="10">
        <v>7500</v>
      </c>
      <c r="O14" s="12" t="s">
        <v>264</v>
      </c>
      <c r="P14" s="13" t="s">
        <v>29</v>
      </c>
      <c r="Q14" s="13" t="s">
        <v>30</v>
      </c>
      <c r="R14" s="7" t="s">
        <v>67</v>
      </c>
      <c r="S14" s="14">
        <v>3</v>
      </c>
    </row>
    <row r="15" spans="1:19" ht="23.25" customHeight="1" x14ac:dyDescent="0.35">
      <c r="A15" s="4">
        <v>10</v>
      </c>
      <c r="B15" s="5" t="s">
        <v>21</v>
      </c>
      <c r="C15" s="6" t="s">
        <v>68</v>
      </c>
      <c r="D15" s="7" t="s">
        <v>69</v>
      </c>
      <c r="E15" s="7" t="s">
        <v>70</v>
      </c>
      <c r="F15" s="8">
        <v>1</v>
      </c>
      <c r="G15" s="7" t="s">
        <v>52</v>
      </c>
      <c r="H15" s="9">
        <v>40000</v>
      </c>
      <c r="I15" s="9">
        <v>70000</v>
      </c>
      <c r="J15" s="10">
        <f t="shared" si="0"/>
        <v>0</v>
      </c>
      <c r="K15" s="10">
        <f t="shared" si="1"/>
        <v>0</v>
      </c>
      <c r="L15" s="7" t="s">
        <v>62</v>
      </c>
      <c r="M15" s="15" t="s">
        <v>71</v>
      </c>
      <c r="N15" s="10"/>
      <c r="O15" s="12" t="s">
        <v>265</v>
      </c>
      <c r="P15" s="13" t="s">
        <v>29</v>
      </c>
      <c r="Q15" s="13" t="s">
        <v>30</v>
      </c>
      <c r="R15" s="7" t="s">
        <v>72</v>
      </c>
      <c r="S15" s="14">
        <v>3</v>
      </c>
    </row>
    <row r="16" spans="1:19" ht="23.25" customHeight="1" x14ac:dyDescent="0.35">
      <c r="A16" s="16">
        <v>11</v>
      </c>
      <c r="B16" s="17" t="s">
        <v>73</v>
      </c>
      <c r="C16" s="18" t="s">
        <v>74</v>
      </c>
      <c r="D16" s="7" t="s">
        <v>75</v>
      </c>
      <c r="E16" s="7" t="s">
        <v>76</v>
      </c>
      <c r="F16" s="8">
        <v>4</v>
      </c>
      <c r="G16" s="7" t="s">
        <v>52</v>
      </c>
      <c r="H16" s="9">
        <v>10000</v>
      </c>
      <c r="I16" s="9">
        <v>35000</v>
      </c>
      <c r="J16" s="10">
        <f t="shared" si="0"/>
        <v>40000</v>
      </c>
      <c r="K16" s="10">
        <f t="shared" si="1"/>
        <v>140000</v>
      </c>
      <c r="L16" s="11" t="s">
        <v>35</v>
      </c>
      <c r="M16" s="7" t="s">
        <v>27</v>
      </c>
      <c r="N16" s="10">
        <v>60000</v>
      </c>
      <c r="O16" s="12" t="s">
        <v>264</v>
      </c>
      <c r="P16" s="13" t="s">
        <v>29</v>
      </c>
      <c r="Q16" s="13" t="s">
        <v>30</v>
      </c>
      <c r="R16" s="7" t="s">
        <v>77</v>
      </c>
      <c r="S16" s="14">
        <v>1</v>
      </c>
    </row>
    <row r="17" spans="1:19" ht="23.25" customHeight="1" x14ac:dyDescent="0.35">
      <c r="A17" s="16">
        <v>12</v>
      </c>
      <c r="B17" s="17" t="s">
        <v>73</v>
      </c>
      <c r="C17" s="18" t="s">
        <v>78</v>
      </c>
      <c r="D17" s="7" t="s">
        <v>79</v>
      </c>
      <c r="E17" s="7" t="s">
        <v>80</v>
      </c>
      <c r="F17" s="8">
        <v>3</v>
      </c>
      <c r="G17" s="7" t="s">
        <v>52</v>
      </c>
      <c r="H17" s="9">
        <v>10000</v>
      </c>
      <c r="I17" s="9">
        <v>30000</v>
      </c>
      <c r="J17" s="10">
        <f t="shared" si="0"/>
        <v>30000</v>
      </c>
      <c r="K17" s="10">
        <f t="shared" si="1"/>
        <v>90000</v>
      </c>
      <c r="L17" s="7" t="s">
        <v>81</v>
      </c>
      <c r="M17" s="7" t="s">
        <v>27</v>
      </c>
      <c r="N17" s="10"/>
      <c r="O17" s="12" t="s">
        <v>28</v>
      </c>
      <c r="P17" s="13" t="s">
        <v>29</v>
      </c>
      <c r="Q17" s="13" t="s">
        <v>30</v>
      </c>
      <c r="R17" s="7" t="s">
        <v>82</v>
      </c>
      <c r="S17" s="14">
        <v>2</v>
      </c>
    </row>
    <row r="18" spans="1:19" ht="23.25" customHeight="1" x14ac:dyDescent="0.35">
      <c r="A18" s="16">
        <v>13</v>
      </c>
      <c r="B18" s="17" t="s">
        <v>73</v>
      </c>
      <c r="C18" s="18" t="s">
        <v>78</v>
      </c>
      <c r="D18" s="7" t="s">
        <v>83</v>
      </c>
      <c r="E18" s="7" t="s">
        <v>84</v>
      </c>
      <c r="F18" s="8">
        <v>3</v>
      </c>
      <c r="G18" s="7" t="s">
        <v>52</v>
      </c>
      <c r="H18" s="9">
        <v>10000</v>
      </c>
      <c r="I18" s="9">
        <v>35000</v>
      </c>
      <c r="J18" s="10">
        <f t="shared" si="0"/>
        <v>30000</v>
      </c>
      <c r="K18" s="10">
        <f t="shared" si="1"/>
        <v>105000</v>
      </c>
      <c r="L18" s="7" t="s">
        <v>81</v>
      </c>
      <c r="M18" s="7" t="s">
        <v>27</v>
      </c>
      <c r="N18" s="10"/>
      <c r="O18" s="12" t="s">
        <v>28</v>
      </c>
      <c r="P18" s="13" t="s">
        <v>29</v>
      </c>
      <c r="Q18" s="13" t="s">
        <v>30</v>
      </c>
      <c r="R18" s="7" t="s">
        <v>85</v>
      </c>
      <c r="S18" s="14">
        <v>2</v>
      </c>
    </row>
    <row r="19" spans="1:19" ht="15" customHeight="1" x14ac:dyDescent="0.35">
      <c r="A19" s="16">
        <v>14</v>
      </c>
      <c r="B19" s="17" t="s">
        <v>73</v>
      </c>
      <c r="C19" s="18" t="s">
        <v>86</v>
      </c>
      <c r="D19" s="7" t="s">
        <v>87</v>
      </c>
      <c r="E19" s="7" t="s">
        <v>88</v>
      </c>
      <c r="F19" s="8">
        <v>10</v>
      </c>
      <c r="G19" s="7" t="s">
        <v>52</v>
      </c>
      <c r="H19" s="9">
        <v>500</v>
      </c>
      <c r="I19" s="9">
        <v>1500</v>
      </c>
      <c r="J19" s="10">
        <f t="shared" si="0"/>
        <v>5000</v>
      </c>
      <c r="K19" s="10">
        <f t="shared" si="1"/>
        <v>15000</v>
      </c>
      <c r="L19" s="11" t="s">
        <v>26</v>
      </c>
      <c r="M19" s="15" t="s">
        <v>71</v>
      </c>
      <c r="N19" s="10">
        <v>10000</v>
      </c>
      <c r="O19" s="12" t="s">
        <v>264</v>
      </c>
      <c r="P19" s="13" t="s">
        <v>29</v>
      </c>
      <c r="Q19" s="13" t="s">
        <v>30</v>
      </c>
      <c r="R19" s="7" t="s">
        <v>89</v>
      </c>
      <c r="S19" s="14">
        <v>1</v>
      </c>
    </row>
    <row r="20" spans="1:19" ht="15" customHeight="1" x14ac:dyDescent="0.35">
      <c r="A20" s="16">
        <v>15</v>
      </c>
      <c r="B20" s="17" t="s">
        <v>73</v>
      </c>
      <c r="C20" s="18" t="s">
        <v>90</v>
      </c>
      <c r="D20" s="7" t="s">
        <v>91</v>
      </c>
      <c r="E20" s="7" t="s">
        <v>92</v>
      </c>
      <c r="F20" s="8">
        <v>4</v>
      </c>
      <c r="G20" s="7" t="s">
        <v>52</v>
      </c>
      <c r="H20" s="9">
        <v>5000</v>
      </c>
      <c r="I20" s="9">
        <v>15000</v>
      </c>
      <c r="J20" s="10">
        <f t="shared" si="0"/>
        <v>20000</v>
      </c>
      <c r="K20" s="10">
        <f t="shared" si="1"/>
        <v>60000</v>
      </c>
      <c r="L20" s="11" t="s">
        <v>26</v>
      </c>
      <c r="M20" s="15" t="s">
        <v>71</v>
      </c>
      <c r="N20" s="10">
        <v>80000</v>
      </c>
      <c r="O20" s="12" t="s">
        <v>264</v>
      </c>
      <c r="P20" s="13" t="s">
        <v>29</v>
      </c>
      <c r="Q20" s="13" t="s">
        <v>30</v>
      </c>
      <c r="R20" s="7" t="s">
        <v>93</v>
      </c>
      <c r="S20" s="14">
        <v>1</v>
      </c>
    </row>
    <row r="21" spans="1:19" ht="23.25" customHeight="1" x14ac:dyDescent="0.35">
      <c r="A21" s="16">
        <v>16</v>
      </c>
      <c r="B21" s="17" t="s">
        <v>73</v>
      </c>
      <c r="C21" s="18" t="s">
        <v>94</v>
      </c>
      <c r="D21" s="7" t="s">
        <v>95</v>
      </c>
      <c r="E21" s="7" t="s">
        <v>96</v>
      </c>
      <c r="F21" s="8">
        <v>10</v>
      </c>
      <c r="G21" s="7" t="s">
        <v>52</v>
      </c>
      <c r="H21" s="9">
        <v>1000</v>
      </c>
      <c r="I21" s="9">
        <v>3000</v>
      </c>
      <c r="J21" s="10">
        <f t="shared" si="0"/>
        <v>10000</v>
      </c>
      <c r="K21" s="10">
        <f t="shared" si="1"/>
        <v>30000</v>
      </c>
      <c r="L21" s="11" t="s">
        <v>26</v>
      </c>
      <c r="M21" s="15" t="s">
        <v>71</v>
      </c>
      <c r="N21" s="10">
        <v>40000</v>
      </c>
      <c r="O21" s="12" t="s">
        <v>264</v>
      </c>
      <c r="P21" s="13" t="s">
        <v>29</v>
      </c>
      <c r="Q21" s="13" t="s">
        <v>30</v>
      </c>
      <c r="R21" s="7" t="s">
        <v>97</v>
      </c>
      <c r="S21" s="14">
        <v>1</v>
      </c>
    </row>
    <row r="22" spans="1:19" ht="15" customHeight="1" x14ac:dyDescent="0.35">
      <c r="A22" s="16">
        <v>17</v>
      </c>
      <c r="B22" s="17" t="s">
        <v>73</v>
      </c>
      <c r="C22" s="18" t="s">
        <v>98</v>
      </c>
      <c r="D22" s="7" t="s">
        <v>99</v>
      </c>
      <c r="E22" s="7" t="s">
        <v>100</v>
      </c>
      <c r="F22" s="8">
        <v>5</v>
      </c>
      <c r="G22" s="7" t="s">
        <v>52</v>
      </c>
      <c r="H22" s="9">
        <v>1000</v>
      </c>
      <c r="I22" s="9">
        <v>3000</v>
      </c>
      <c r="J22" s="10">
        <f t="shared" si="0"/>
        <v>5000</v>
      </c>
      <c r="K22" s="10">
        <f t="shared" si="1"/>
        <v>15000</v>
      </c>
      <c r="L22" s="11" t="s">
        <v>26</v>
      </c>
      <c r="M22" s="15" t="s">
        <v>71</v>
      </c>
      <c r="N22" s="10"/>
      <c r="O22" s="12" t="s">
        <v>264</v>
      </c>
      <c r="P22" s="13" t="s">
        <v>29</v>
      </c>
      <c r="Q22" s="13" t="s">
        <v>30</v>
      </c>
      <c r="R22" s="7"/>
      <c r="S22" s="14">
        <v>2</v>
      </c>
    </row>
    <row r="23" spans="1:19" ht="34.5" customHeight="1" x14ac:dyDescent="0.35">
      <c r="A23" s="19">
        <v>18</v>
      </c>
      <c r="B23" s="20" t="s">
        <v>101</v>
      </c>
      <c r="C23" s="21" t="s">
        <v>102</v>
      </c>
      <c r="D23" s="7" t="s">
        <v>103</v>
      </c>
      <c r="E23" s="7" t="s">
        <v>104</v>
      </c>
      <c r="F23" s="8">
        <v>1</v>
      </c>
      <c r="G23" s="7" t="s">
        <v>25</v>
      </c>
      <c r="H23" s="9">
        <v>890000</v>
      </c>
      <c r="I23" s="9">
        <v>1110000</v>
      </c>
      <c r="J23" s="10">
        <f t="shared" si="0"/>
        <v>890000</v>
      </c>
      <c r="K23" s="10">
        <f t="shared" si="1"/>
        <v>1110000</v>
      </c>
      <c r="L23" s="11" t="s">
        <v>26</v>
      </c>
      <c r="M23" s="7" t="s">
        <v>27</v>
      </c>
      <c r="N23" s="10"/>
      <c r="O23" s="12" t="s">
        <v>28</v>
      </c>
      <c r="P23" s="13" t="s">
        <v>29</v>
      </c>
      <c r="Q23" s="13" t="s">
        <v>30</v>
      </c>
      <c r="R23" s="7" t="s">
        <v>105</v>
      </c>
      <c r="S23" s="14">
        <v>1</v>
      </c>
    </row>
    <row r="24" spans="1:19" ht="23.25" customHeight="1" x14ac:dyDescent="0.35">
      <c r="A24" s="19">
        <v>19</v>
      </c>
      <c r="B24" s="20" t="s">
        <v>101</v>
      </c>
      <c r="C24" s="21" t="s">
        <v>106</v>
      </c>
      <c r="D24" s="7" t="s">
        <v>107</v>
      </c>
      <c r="E24" s="7" t="s">
        <v>108</v>
      </c>
      <c r="F24" s="8">
        <v>1</v>
      </c>
      <c r="G24" s="7" t="s">
        <v>52</v>
      </c>
      <c r="H24" s="9">
        <v>90000</v>
      </c>
      <c r="I24" s="9">
        <v>110000</v>
      </c>
      <c r="J24" s="10">
        <f t="shared" si="0"/>
        <v>90000</v>
      </c>
      <c r="K24" s="10">
        <f t="shared" si="1"/>
        <v>110000</v>
      </c>
      <c r="L24" s="7" t="s">
        <v>62</v>
      </c>
      <c r="M24" s="7" t="s">
        <v>27</v>
      </c>
      <c r="N24" s="10"/>
      <c r="O24" s="12" t="s">
        <v>28</v>
      </c>
      <c r="P24" s="13" t="s">
        <v>29</v>
      </c>
      <c r="Q24" s="13" t="s">
        <v>30</v>
      </c>
      <c r="R24" s="7" t="s">
        <v>109</v>
      </c>
      <c r="S24" s="14">
        <v>3</v>
      </c>
    </row>
    <row r="25" spans="1:19" ht="23.25" customHeight="1" x14ac:dyDescent="0.35">
      <c r="A25" s="19">
        <v>20</v>
      </c>
      <c r="B25" s="20" t="s">
        <v>101</v>
      </c>
      <c r="C25" s="21" t="s">
        <v>110</v>
      </c>
      <c r="D25" s="7" t="s">
        <v>111</v>
      </c>
      <c r="E25" s="7" t="s">
        <v>112</v>
      </c>
      <c r="F25" s="8">
        <v>1</v>
      </c>
      <c r="G25" s="7" t="s">
        <v>113</v>
      </c>
      <c r="H25" s="9">
        <v>50000</v>
      </c>
      <c r="I25" s="9">
        <v>100000</v>
      </c>
      <c r="J25" s="10">
        <f t="shared" si="0"/>
        <v>50000</v>
      </c>
      <c r="K25" s="10">
        <f t="shared" si="1"/>
        <v>100000</v>
      </c>
      <c r="L25" s="7" t="s">
        <v>62</v>
      </c>
      <c r="M25" s="15" t="s">
        <v>71</v>
      </c>
      <c r="N25" s="10">
        <v>140000</v>
      </c>
      <c r="O25" s="12" t="s">
        <v>264</v>
      </c>
      <c r="P25" s="13" t="s">
        <v>29</v>
      </c>
      <c r="Q25" s="13" t="s">
        <v>30</v>
      </c>
      <c r="R25" s="7" t="s">
        <v>114</v>
      </c>
      <c r="S25" s="14">
        <v>3</v>
      </c>
    </row>
    <row r="26" spans="1:19" ht="23.25" customHeight="1" x14ac:dyDescent="0.35">
      <c r="A26" s="19">
        <v>21</v>
      </c>
      <c r="B26" s="20" t="s">
        <v>101</v>
      </c>
      <c r="C26" s="21" t="s">
        <v>115</v>
      </c>
      <c r="D26" s="7" t="s">
        <v>116</v>
      </c>
      <c r="E26" s="7" t="s">
        <v>117</v>
      </c>
      <c r="F26" s="8">
        <v>1</v>
      </c>
      <c r="G26" s="7" t="s">
        <v>52</v>
      </c>
      <c r="H26" s="9">
        <v>35000</v>
      </c>
      <c r="I26" s="9">
        <v>75000</v>
      </c>
      <c r="J26" s="10">
        <f t="shared" si="0"/>
        <v>35000</v>
      </c>
      <c r="K26" s="10">
        <f t="shared" si="1"/>
        <v>75000</v>
      </c>
      <c r="L26" s="11" t="s">
        <v>26</v>
      </c>
      <c r="M26" s="15" t="s">
        <v>71</v>
      </c>
      <c r="N26" s="10"/>
      <c r="O26" s="12" t="s">
        <v>28</v>
      </c>
      <c r="P26" s="13" t="s">
        <v>29</v>
      </c>
      <c r="Q26" s="13" t="s">
        <v>30</v>
      </c>
      <c r="R26" s="7" t="s">
        <v>118</v>
      </c>
      <c r="S26" s="14">
        <v>2</v>
      </c>
    </row>
    <row r="27" spans="1:19" ht="23.25" customHeight="1" x14ac:dyDescent="0.35">
      <c r="A27" s="19">
        <v>22</v>
      </c>
      <c r="B27" s="20" t="s">
        <v>101</v>
      </c>
      <c r="C27" s="21" t="s">
        <v>119</v>
      </c>
      <c r="D27" s="7" t="s">
        <v>120</v>
      </c>
      <c r="E27" s="7" t="s">
        <v>121</v>
      </c>
      <c r="F27" s="8">
        <v>1</v>
      </c>
      <c r="G27" s="7" t="s">
        <v>25</v>
      </c>
      <c r="H27" s="9">
        <v>40000</v>
      </c>
      <c r="I27" s="9">
        <v>100000</v>
      </c>
      <c r="J27" s="10">
        <f t="shared" si="0"/>
        <v>40000</v>
      </c>
      <c r="K27" s="10">
        <f t="shared" si="1"/>
        <v>100000</v>
      </c>
      <c r="L27" s="11" t="s">
        <v>26</v>
      </c>
      <c r="M27" s="15" t="s">
        <v>71</v>
      </c>
      <c r="N27" s="10"/>
      <c r="O27" s="12" t="s">
        <v>28</v>
      </c>
      <c r="P27" s="13" t="s">
        <v>29</v>
      </c>
      <c r="Q27" s="13" t="s">
        <v>30</v>
      </c>
      <c r="R27" s="7" t="s">
        <v>122</v>
      </c>
      <c r="S27" s="14">
        <v>2</v>
      </c>
    </row>
    <row r="28" spans="1:19" ht="23.25" customHeight="1" x14ac:dyDescent="0.35">
      <c r="A28" s="19">
        <v>23</v>
      </c>
      <c r="B28" s="20" t="s">
        <v>101</v>
      </c>
      <c r="C28" s="21" t="s">
        <v>123</v>
      </c>
      <c r="D28" s="7" t="s">
        <v>124</v>
      </c>
      <c r="E28" s="7" t="s">
        <v>125</v>
      </c>
      <c r="F28" s="8">
        <v>1</v>
      </c>
      <c r="G28" s="7" t="s">
        <v>52</v>
      </c>
      <c r="H28" s="9">
        <v>15000</v>
      </c>
      <c r="I28" s="9">
        <v>30000</v>
      </c>
      <c r="J28" s="10">
        <f t="shared" si="0"/>
        <v>0</v>
      </c>
      <c r="K28" s="10">
        <f t="shared" si="1"/>
        <v>0</v>
      </c>
      <c r="L28" s="11" t="s">
        <v>26</v>
      </c>
      <c r="M28" s="15" t="s">
        <v>71</v>
      </c>
      <c r="N28" s="10"/>
      <c r="O28" s="12" t="s">
        <v>265</v>
      </c>
      <c r="P28" s="13" t="s">
        <v>29</v>
      </c>
      <c r="Q28" s="13" t="s">
        <v>30</v>
      </c>
      <c r="R28" s="7" t="s">
        <v>126</v>
      </c>
      <c r="S28" s="14">
        <v>2</v>
      </c>
    </row>
    <row r="29" spans="1:19" ht="23.25" customHeight="1" x14ac:dyDescent="0.35">
      <c r="A29" s="22">
        <v>24</v>
      </c>
      <c r="B29" s="23" t="s">
        <v>127</v>
      </c>
      <c r="C29" s="24" t="s">
        <v>128</v>
      </c>
      <c r="D29" s="7" t="s">
        <v>129</v>
      </c>
      <c r="E29" s="7" t="s">
        <v>130</v>
      </c>
      <c r="F29" s="8">
        <v>1</v>
      </c>
      <c r="G29" s="7" t="s">
        <v>25</v>
      </c>
      <c r="H29" s="9">
        <v>76000</v>
      </c>
      <c r="I29" s="9">
        <v>200000</v>
      </c>
      <c r="J29" s="10">
        <f t="shared" si="0"/>
        <v>76000</v>
      </c>
      <c r="K29" s="10">
        <f t="shared" si="1"/>
        <v>200000</v>
      </c>
      <c r="L29" s="11" t="s">
        <v>26</v>
      </c>
      <c r="M29" s="7" t="s">
        <v>27</v>
      </c>
      <c r="N29" s="10">
        <v>110000</v>
      </c>
      <c r="O29" s="12" t="s">
        <v>264</v>
      </c>
      <c r="P29" s="13" t="s">
        <v>29</v>
      </c>
      <c r="Q29" s="13" t="s">
        <v>30</v>
      </c>
      <c r="R29" s="7" t="s">
        <v>131</v>
      </c>
      <c r="S29" s="14">
        <v>1</v>
      </c>
    </row>
    <row r="30" spans="1:19" ht="23.25" customHeight="1" x14ac:dyDescent="0.35">
      <c r="A30" s="22">
        <v>25</v>
      </c>
      <c r="B30" s="23" t="s">
        <v>127</v>
      </c>
      <c r="C30" s="24" t="s">
        <v>132</v>
      </c>
      <c r="D30" s="7" t="s">
        <v>133</v>
      </c>
      <c r="E30" s="7" t="s">
        <v>134</v>
      </c>
      <c r="F30" s="8">
        <v>1</v>
      </c>
      <c r="G30" s="7" t="s">
        <v>52</v>
      </c>
      <c r="H30" s="9">
        <v>25000</v>
      </c>
      <c r="I30" s="9">
        <v>60000</v>
      </c>
      <c r="J30" s="10">
        <f t="shared" si="0"/>
        <v>25000</v>
      </c>
      <c r="K30" s="10">
        <f t="shared" si="1"/>
        <v>60000</v>
      </c>
      <c r="L30" s="11" t="s">
        <v>26</v>
      </c>
      <c r="M30" s="15" t="s">
        <v>71</v>
      </c>
      <c r="N30" s="10">
        <v>20000</v>
      </c>
      <c r="O30" s="12" t="s">
        <v>264</v>
      </c>
      <c r="P30" s="13" t="s">
        <v>29</v>
      </c>
      <c r="Q30" s="13" t="s">
        <v>30</v>
      </c>
      <c r="R30" s="7" t="s">
        <v>135</v>
      </c>
      <c r="S30" s="14">
        <v>2</v>
      </c>
    </row>
    <row r="31" spans="1:19" ht="23.25" customHeight="1" x14ac:dyDescent="0.35">
      <c r="A31" s="22">
        <v>26</v>
      </c>
      <c r="B31" s="23" t="s">
        <v>127</v>
      </c>
      <c r="C31" s="24" t="s">
        <v>136</v>
      </c>
      <c r="D31" s="7" t="s">
        <v>137</v>
      </c>
      <c r="E31" s="7" t="s">
        <v>138</v>
      </c>
      <c r="F31" s="8">
        <v>4</v>
      </c>
      <c r="G31" s="7" t="s">
        <v>52</v>
      </c>
      <c r="H31" s="9">
        <v>8000</v>
      </c>
      <c r="I31" s="9">
        <v>15000</v>
      </c>
      <c r="J31" s="10">
        <f t="shared" si="0"/>
        <v>32000</v>
      </c>
      <c r="K31" s="10">
        <f t="shared" si="1"/>
        <v>60000</v>
      </c>
      <c r="L31" s="7" t="s">
        <v>62</v>
      </c>
      <c r="M31" s="15" t="s">
        <v>71</v>
      </c>
      <c r="N31" s="10">
        <v>21000</v>
      </c>
      <c r="O31" s="12" t="s">
        <v>264</v>
      </c>
      <c r="P31" s="13" t="s">
        <v>29</v>
      </c>
      <c r="Q31" s="13" t="s">
        <v>30</v>
      </c>
      <c r="R31" s="7" t="s">
        <v>139</v>
      </c>
      <c r="S31" s="14">
        <v>3</v>
      </c>
    </row>
    <row r="32" spans="1:19" ht="23.25" customHeight="1" x14ac:dyDescent="0.35">
      <c r="A32" s="22">
        <v>27</v>
      </c>
      <c r="B32" s="23" t="s">
        <v>127</v>
      </c>
      <c r="C32" s="24" t="s">
        <v>140</v>
      </c>
      <c r="D32" s="7" t="s">
        <v>141</v>
      </c>
      <c r="E32" s="7" t="s">
        <v>142</v>
      </c>
      <c r="F32" s="8">
        <v>1</v>
      </c>
      <c r="G32" s="7" t="s">
        <v>25</v>
      </c>
      <c r="H32" s="9">
        <v>250000</v>
      </c>
      <c r="I32" s="9">
        <v>450000</v>
      </c>
      <c r="J32" s="10">
        <f t="shared" si="0"/>
        <v>250000</v>
      </c>
      <c r="K32" s="10">
        <f t="shared" si="1"/>
        <v>450000</v>
      </c>
      <c r="L32" s="11" t="s">
        <v>26</v>
      </c>
      <c r="M32" s="15" t="s">
        <v>71</v>
      </c>
      <c r="N32" s="10">
        <v>155000</v>
      </c>
      <c r="O32" s="12" t="s">
        <v>264</v>
      </c>
      <c r="P32" s="13" t="s">
        <v>29</v>
      </c>
      <c r="Q32" s="13" t="s">
        <v>30</v>
      </c>
      <c r="R32" s="7" t="s">
        <v>143</v>
      </c>
      <c r="S32" s="14">
        <v>1</v>
      </c>
    </row>
    <row r="33" spans="1:19" ht="15" customHeight="1" x14ac:dyDescent="0.35">
      <c r="A33" s="22">
        <v>28</v>
      </c>
      <c r="B33" s="23" t="s">
        <v>127</v>
      </c>
      <c r="C33" s="24" t="s">
        <v>144</v>
      </c>
      <c r="D33" s="7" t="s">
        <v>145</v>
      </c>
      <c r="E33" s="7" t="s">
        <v>146</v>
      </c>
      <c r="F33" s="8">
        <v>1</v>
      </c>
      <c r="G33" s="7" t="s">
        <v>147</v>
      </c>
      <c r="H33" s="9">
        <v>15000</v>
      </c>
      <c r="I33" s="9">
        <v>30000</v>
      </c>
      <c r="J33" s="10">
        <f t="shared" si="0"/>
        <v>15000</v>
      </c>
      <c r="K33" s="10">
        <f t="shared" si="1"/>
        <v>30000</v>
      </c>
      <c r="L33" s="11" t="s">
        <v>26</v>
      </c>
      <c r="M33" s="15" t="s">
        <v>71</v>
      </c>
      <c r="N33" s="10">
        <v>18000</v>
      </c>
      <c r="O33" s="12" t="s">
        <v>264</v>
      </c>
      <c r="P33" s="13" t="s">
        <v>29</v>
      </c>
      <c r="Q33" s="13" t="s">
        <v>30</v>
      </c>
      <c r="R33" s="7"/>
      <c r="S33" s="14">
        <v>1</v>
      </c>
    </row>
    <row r="34" spans="1:19" ht="15" customHeight="1" x14ac:dyDescent="0.35">
      <c r="A34" s="22">
        <v>29</v>
      </c>
      <c r="B34" s="23" t="s">
        <v>127</v>
      </c>
      <c r="C34" s="24" t="s">
        <v>148</v>
      </c>
      <c r="D34" s="7" t="s">
        <v>149</v>
      </c>
      <c r="E34" s="7" t="s">
        <v>150</v>
      </c>
      <c r="F34" s="8">
        <v>20</v>
      </c>
      <c r="G34" s="7" t="s">
        <v>52</v>
      </c>
      <c r="H34" s="9">
        <v>2000</v>
      </c>
      <c r="I34" s="9">
        <v>5000</v>
      </c>
      <c r="J34" s="10">
        <f t="shared" si="0"/>
        <v>40000</v>
      </c>
      <c r="K34" s="10">
        <f t="shared" si="1"/>
        <v>100000</v>
      </c>
      <c r="L34" s="11" t="s">
        <v>26</v>
      </c>
      <c r="M34" s="15" t="s">
        <v>71</v>
      </c>
      <c r="N34" s="10">
        <v>35000</v>
      </c>
      <c r="O34" s="12" t="s">
        <v>264</v>
      </c>
      <c r="P34" s="13" t="s">
        <v>29</v>
      </c>
      <c r="Q34" s="13" t="s">
        <v>30</v>
      </c>
      <c r="R34" s="7" t="s">
        <v>151</v>
      </c>
      <c r="S34" s="14">
        <v>1</v>
      </c>
    </row>
    <row r="35" spans="1:19" ht="23.25" customHeight="1" x14ac:dyDescent="0.35">
      <c r="A35" s="22">
        <v>30</v>
      </c>
      <c r="B35" s="23" t="s">
        <v>127</v>
      </c>
      <c r="C35" s="24" t="s">
        <v>152</v>
      </c>
      <c r="D35" s="7" t="s">
        <v>153</v>
      </c>
      <c r="E35" s="7" t="s">
        <v>154</v>
      </c>
      <c r="F35" s="8">
        <v>30</v>
      </c>
      <c r="G35" s="7" t="s">
        <v>155</v>
      </c>
      <c r="H35" s="9">
        <v>3000</v>
      </c>
      <c r="I35" s="9">
        <v>5000</v>
      </c>
      <c r="J35" s="10">
        <f t="shared" si="0"/>
        <v>90000</v>
      </c>
      <c r="K35" s="10">
        <f t="shared" si="1"/>
        <v>150000</v>
      </c>
      <c r="L35" s="11" t="s">
        <v>26</v>
      </c>
      <c r="M35" s="15" t="s">
        <v>71</v>
      </c>
      <c r="N35" s="10">
        <v>0</v>
      </c>
      <c r="O35" s="12" t="s">
        <v>28</v>
      </c>
      <c r="P35" s="13" t="s">
        <v>29</v>
      </c>
      <c r="Q35" s="13" t="s">
        <v>30</v>
      </c>
      <c r="R35" s="7" t="s">
        <v>156</v>
      </c>
      <c r="S35" s="14">
        <v>1</v>
      </c>
    </row>
    <row r="36" spans="1:19" ht="15" customHeight="1" x14ac:dyDescent="0.35">
      <c r="A36" s="22">
        <v>31</v>
      </c>
      <c r="B36" s="23" t="s">
        <v>127</v>
      </c>
      <c r="C36" s="24" t="s">
        <v>157</v>
      </c>
      <c r="D36" s="7" t="s">
        <v>158</v>
      </c>
      <c r="E36" s="7" t="s">
        <v>159</v>
      </c>
      <c r="F36" s="8">
        <v>1</v>
      </c>
      <c r="G36" s="7" t="s">
        <v>113</v>
      </c>
      <c r="H36" s="9">
        <v>40000</v>
      </c>
      <c r="I36" s="9">
        <v>80000</v>
      </c>
      <c r="J36" s="10">
        <f t="shared" si="0"/>
        <v>40000</v>
      </c>
      <c r="K36" s="10">
        <f t="shared" si="1"/>
        <v>80000</v>
      </c>
      <c r="L36" s="11" t="s">
        <v>26</v>
      </c>
      <c r="M36" s="15" t="s">
        <v>71</v>
      </c>
      <c r="N36" s="10">
        <v>0</v>
      </c>
      <c r="O36" s="12" t="s">
        <v>28</v>
      </c>
      <c r="P36" s="13" t="s">
        <v>29</v>
      </c>
      <c r="Q36" s="13" t="s">
        <v>30</v>
      </c>
      <c r="R36" s="7"/>
      <c r="S36" s="14">
        <v>1</v>
      </c>
    </row>
    <row r="37" spans="1:19" ht="23.25" customHeight="1" x14ac:dyDescent="0.35">
      <c r="A37" s="22">
        <v>32</v>
      </c>
      <c r="B37" s="23" t="s">
        <v>127</v>
      </c>
      <c r="C37" s="24" t="s">
        <v>160</v>
      </c>
      <c r="D37" s="7" t="s">
        <v>161</v>
      </c>
      <c r="E37" s="7" t="s">
        <v>162</v>
      </c>
      <c r="F37" s="8">
        <v>1</v>
      </c>
      <c r="G37" s="7" t="s">
        <v>163</v>
      </c>
      <c r="H37" s="9">
        <v>50000</v>
      </c>
      <c r="I37" s="9">
        <v>100000</v>
      </c>
      <c r="J37" s="10">
        <f t="shared" si="0"/>
        <v>50000</v>
      </c>
      <c r="K37" s="10">
        <f t="shared" si="1"/>
        <v>100000</v>
      </c>
      <c r="L37" s="11" t="s">
        <v>26</v>
      </c>
      <c r="M37" s="15" t="s">
        <v>71</v>
      </c>
      <c r="N37" s="10"/>
      <c r="O37" s="12" t="s">
        <v>28</v>
      </c>
      <c r="P37" s="13" t="s">
        <v>29</v>
      </c>
      <c r="Q37" s="13" t="s">
        <v>30</v>
      </c>
      <c r="R37" s="7"/>
      <c r="S37" s="14">
        <v>2</v>
      </c>
    </row>
    <row r="38" spans="1:19" ht="23.25" customHeight="1" x14ac:dyDescent="0.35">
      <c r="A38" s="22">
        <v>33</v>
      </c>
      <c r="B38" s="23" t="s">
        <v>127</v>
      </c>
      <c r="C38" s="24" t="s">
        <v>164</v>
      </c>
      <c r="D38" s="7" t="s">
        <v>165</v>
      </c>
      <c r="E38" s="7" t="s">
        <v>166</v>
      </c>
      <c r="F38" s="8">
        <v>1</v>
      </c>
      <c r="G38" s="7" t="s">
        <v>163</v>
      </c>
      <c r="H38" s="9">
        <v>40000</v>
      </c>
      <c r="I38" s="9">
        <v>70000</v>
      </c>
      <c r="J38" s="10">
        <f t="shared" si="0"/>
        <v>40000</v>
      </c>
      <c r="K38" s="10">
        <f t="shared" si="1"/>
        <v>70000</v>
      </c>
      <c r="L38" s="11" t="s">
        <v>26</v>
      </c>
      <c r="M38" s="15" t="s">
        <v>71</v>
      </c>
      <c r="N38" s="10"/>
      <c r="O38" s="12" t="s">
        <v>28</v>
      </c>
      <c r="P38" s="13" t="s">
        <v>29</v>
      </c>
      <c r="Q38" s="13" t="s">
        <v>30</v>
      </c>
      <c r="R38" s="7"/>
      <c r="S38" s="14">
        <v>2</v>
      </c>
    </row>
    <row r="39" spans="1:19" ht="15" customHeight="1" x14ac:dyDescent="0.35">
      <c r="A39" s="22">
        <v>34</v>
      </c>
      <c r="B39" s="23" t="s">
        <v>127</v>
      </c>
      <c r="C39" s="24" t="s">
        <v>167</v>
      </c>
      <c r="D39" s="7" t="s">
        <v>168</v>
      </c>
      <c r="E39" s="7" t="s">
        <v>169</v>
      </c>
      <c r="F39" s="8">
        <v>1</v>
      </c>
      <c r="G39" s="7" t="s">
        <v>52</v>
      </c>
      <c r="H39" s="9">
        <v>10000</v>
      </c>
      <c r="I39" s="9">
        <v>20000</v>
      </c>
      <c r="J39" s="10">
        <f t="shared" si="0"/>
        <v>0</v>
      </c>
      <c r="K39" s="10">
        <f t="shared" si="1"/>
        <v>0</v>
      </c>
      <c r="L39" s="11" t="s">
        <v>26</v>
      </c>
      <c r="M39" s="15" t="s">
        <v>71</v>
      </c>
      <c r="N39" s="10"/>
      <c r="O39" s="12" t="s">
        <v>265</v>
      </c>
      <c r="P39" s="13" t="s">
        <v>29</v>
      </c>
      <c r="Q39" s="13" t="s">
        <v>30</v>
      </c>
      <c r="R39" s="7" t="s">
        <v>295</v>
      </c>
      <c r="S39" s="14">
        <v>2</v>
      </c>
    </row>
    <row r="40" spans="1:19" ht="23.25" customHeight="1" x14ac:dyDescent="0.35">
      <c r="A40" s="25">
        <v>35</v>
      </c>
      <c r="B40" s="26" t="s">
        <v>170</v>
      </c>
      <c r="C40" s="27" t="s">
        <v>171</v>
      </c>
      <c r="D40" s="7" t="s">
        <v>172</v>
      </c>
      <c r="E40" s="7" t="s">
        <v>173</v>
      </c>
      <c r="F40" s="8">
        <v>1</v>
      </c>
      <c r="G40" s="7" t="s">
        <v>25</v>
      </c>
      <c r="H40" s="9">
        <v>450000</v>
      </c>
      <c r="I40" s="9">
        <v>700000</v>
      </c>
      <c r="J40" s="10">
        <f t="shared" si="0"/>
        <v>450000</v>
      </c>
      <c r="K40" s="10">
        <f t="shared" si="1"/>
        <v>700000</v>
      </c>
      <c r="L40" s="7" t="s">
        <v>62</v>
      </c>
      <c r="M40" s="15" t="s">
        <v>71</v>
      </c>
      <c r="N40" s="10"/>
      <c r="O40" s="12" t="s">
        <v>28</v>
      </c>
      <c r="P40" s="13" t="s">
        <v>29</v>
      </c>
      <c r="Q40" s="13" t="s">
        <v>30</v>
      </c>
      <c r="R40" s="7" t="s">
        <v>174</v>
      </c>
      <c r="S40" s="14">
        <v>3</v>
      </c>
    </row>
    <row r="41" spans="1:19" ht="15" customHeight="1" x14ac:dyDescent="0.35">
      <c r="A41" s="25">
        <v>36</v>
      </c>
      <c r="B41" s="26" t="s">
        <v>170</v>
      </c>
      <c r="C41" s="27" t="s">
        <v>175</v>
      </c>
      <c r="D41" s="7" t="s">
        <v>176</v>
      </c>
      <c r="E41" s="7" t="s">
        <v>177</v>
      </c>
      <c r="F41" s="8">
        <v>1</v>
      </c>
      <c r="G41" s="7" t="s">
        <v>25</v>
      </c>
      <c r="H41" s="9">
        <v>100000</v>
      </c>
      <c r="I41" s="9">
        <v>250000</v>
      </c>
      <c r="J41" s="10">
        <f t="shared" si="0"/>
        <v>0</v>
      </c>
      <c r="K41" s="10">
        <f t="shared" si="1"/>
        <v>0</v>
      </c>
      <c r="L41" s="7" t="s">
        <v>81</v>
      </c>
      <c r="M41" s="15" t="s">
        <v>71</v>
      </c>
      <c r="N41" s="10"/>
      <c r="O41" s="12" t="s">
        <v>265</v>
      </c>
      <c r="P41" s="13" t="s">
        <v>29</v>
      </c>
      <c r="Q41" s="13" t="s">
        <v>30</v>
      </c>
      <c r="R41" s="7" t="s">
        <v>178</v>
      </c>
      <c r="S41" s="14">
        <v>1</v>
      </c>
    </row>
    <row r="43" spans="1:19" ht="15" customHeight="1" x14ac:dyDescent="0.35">
      <c r="C43" s="28" t="s">
        <v>179</v>
      </c>
      <c r="J43" s="29">
        <f>SUM(J5:J41)</f>
        <v>3377000</v>
      </c>
      <c r="K43" s="29">
        <f>SUM(K5:K41)</f>
        <v>5277000</v>
      </c>
      <c r="L43" s="60"/>
      <c r="M43" s="60"/>
      <c r="N43" s="29">
        <f t="shared" ref="N43" si="2">SUM(N5:N41)</f>
        <v>1456281</v>
      </c>
    </row>
    <row r="44" spans="1:19" ht="15" customHeight="1" x14ac:dyDescent="0.35">
      <c r="C44" s="30" t="s">
        <v>180</v>
      </c>
      <c r="J44" s="31">
        <f>SUMIF($L$5:$L$41,"Wajib*",J5:J41)</f>
        <v>2640000</v>
      </c>
      <c r="K44" s="31">
        <f>SUMIF($L$5:$L$41,"Wajib*",K5:K41)</f>
        <v>4017000</v>
      </c>
      <c r="N44" s="59"/>
    </row>
    <row r="46" spans="1:19" ht="15" customHeight="1" x14ac:dyDescent="0.35">
      <c r="C46" s="32" t="s">
        <v>181</v>
      </c>
    </row>
  </sheetData>
  <autoFilter ref="A4:S41" xr:uid="{00000000-0009-0000-0000-000000000000}"/>
  <mergeCells count="1">
    <mergeCell ref="A2:R2"/>
  </mergeCells>
  <conditionalFormatting sqref="A5:M5 O5:R41 A13:M13 A14:N31 A32:M33 A34:N41 A6:N12">
    <cfRule type="expression" dxfId="13" priority="18">
      <formula>$O5="Diterima"</formula>
    </cfRule>
    <cfRule type="expression" dxfId="12" priority="19">
      <formula>$O5="Sudah punya"</formula>
    </cfRule>
  </conditionalFormatting>
  <conditionalFormatting sqref="N5">
    <cfRule type="expression" dxfId="11" priority="7">
      <formula>#REF!="Diterima"</formula>
    </cfRule>
    <cfRule type="expression" dxfId="10" priority="8">
      <formula>#REF!="Sudah punya"</formula>
    </cfRule>
  </conditionalFormatting>
  <conditionalFormatting sqref="N13">
    <cfRule type="expression" dxfId="9" priority="5">
      <formula>#REF!="Diterima"</formula>
    </cfRule>
    <cfRule type="expression" dxfId="8" priority="6">
      <formula>#REF!="Sudah punya"</formula>
    </cfRule>
  </conditionalFormatting>
  <conditionalFormatting sqref="N32:N33">
    <cfRule type="expression" dxfId="7" priority="1">
      <formula>#REF!="Diterima"</formula>
    </cfRule>
    <cfRule type="expression" dxfId="6" priority="2">
      <formula>#REF!="Sudah punya"</formula>
    </cfRule>
  </conditionalFormatting>
  <dataValidations count="1">
    <dataValidation type="list" allowBlank="1" sqref="O5:O41" xr:uid="{00000000-0002-0000-0000-000000000000}">
      <formula1>"Belum,Dipesan,Diterima,Sudah punya"</formula1>
      <formula2>0</formula2>
    </dataValidation>
  </dataValidations>
  <hyperlinks>
    <hyperlink ref="P5" r:id="rId1" xr:uid="{00000000-0004-0000-0000-000000000000}"/>
    <hyperlink ref="Q5" r:id="rId2" xr:uid="{00000000-0004-0000-0000-000001000000}"/>
    <hyperlink ref="P6" r:id="rId3" xr:uid="{00000000-0004-0000-0000-000002000000}"/>
    <hyperlink ref="Q6" r:id="rId4" xr:uid="{00000000-0004-0000-0000-000003000000}"/>
    <hyperlink ref="P7" r:id="rId5" xr:uid="{00000000-0004-0000-0000-000004000000}"/>
    <hyperlink ref="Q7" r:id="rId6" xr:uid="{00000000-0004-0000-0000-000005000000}"/>
    <hyperlink ref="P8" r:id="rId7" xr:uid="{00000000-0004-0000-0000-000006000000}"/>
    <hyperlink ref="Q8" r:id="rId8" xr:uid="{00000000-0004-0000-0000-000007000000}"/>
    <hyperlink ref="P10" r:id="rId9" xr:uid="{00000000-0004-0000-0000-000008000000}"/>
    <hyperlink ref="Q10" r:id="rId10" xr:uid="{00000000-0004-0000-0000-000009000000}"/>
    <hyperlink ref="P11" r:id="rId11" xr:uid="{00000000-0004-0000-0000-00000A000000}"/>
    <hyperlink ref="Q11" r:id="rId12" xr:uid="{00000000-0004-0000-0000-00000B000000}"/>
    <hyperlink ref="P12" r:id="rId13" xr:uid="{00000000-0004-0000-0000-00000C000000}"/>
    <hyperlink ref="Q12" r:id="rId14" xr:uid="{00000000-0004-0000-0000-00000D000000}"/>
    <hyperlink ref="P13" r:id="rId15" xr:uid="{00000000-0004-0000-0000-00000E000000}"/>
    <hyperlink ref="Q13" r:id="rId16" xr:uid="{00000000-0004-0000-0000-00000F000000}"/>
    <hyperlink ref="P14" r:id="rId17" xr:uid="{00000000-0004-0000-0000-000010000000}"/>
    <hyperlink ref="Q14" r:id="rId18" xr:uid="{00000000-0004-0000-0000-000011000000}"/>
    <hyperlink ref="P15" r:id="rId19" xr:uid="{00000000-0004-0000-0000-000012000000}"/>
    <hyperlink ref="Q15" r:id="rId20" xr:uid="{00000000-0004-0000-0000-000013000000}"/>
    <hyperlink ref="P16" r:id="rId21" xr:uid="{00000000-0004-0000-0000-000014000000}"/>
    <hyperlink ref="Q16" r:id="rId22" xr:uid="{00000000-0004-0000-0000-000015000000}"/>
    <hyperlink ref="P17" r:id="rId23" xr:uid="{00000000-0004-0000-0000-000016000000}"/>
    <hyperlink ref="Q17" r:id="rId24" xr:uid="{00000000-0004-0000-0000-000017000000}"/>
    <hyperlink ref="P18" r:id="rId25" xr:uid="{00000000-0004-0000-0000-000018000000}"/>
    <hyperlink ref="Q18" r:id="rId26" xr:uid="{00000000-0004-0000-0000-000019000000}"/>
    <hyperlink ref="P19" r:id="rId27" xr:uid="{00000000-0004-0000-0000-00001A000000}"/>
    <hyperlink ref="Q19" r:id="rId28" xr:uid="{00000000-0004-0000-0000-00001B000000}"/>
    <hyperlink ref="P20" r:id="rId29" xr:uid="{00000000-0004-0000-0000-00001C000000}"/>
    <hyperlink ref="Q20" r:id="rId30" xr:uid="{00000000-0004-0000-0000-00001D000000}"/>
    <hyperlink ref="P21" r:id="rId31" xr:uid="{00000000-0004-0000-0000-00001E000000}"/>
    <hyperlink ref="Q21" r:id="rId32" xr:uid="{00000000-0004-0000-0000-00001F000000}"/>
    <hyperlink ref="P22" r:id="rId33" xr:uid="{00000000-0004-0000-0000-000020000000}"/>
    <hyperlink ref="Q22" r:id="rId34" xr:uid="{00000000-0004-0000-0000-000021000000}"/>
    <hyperlink ref="P23" r:id="rId35" xr:uid="{00000000-0004-0000-0000-000022000000}"/>
    <hyperlink ref="Q23" r:id="rId36" xr:uid="{00000000-0004-0000-0000-000023000000}"/>
    <hyperlink ref="P24" r:id="rId37" xr:uid="{00000000-0004-0000-0000-000024000000}"/>
    <hyperlink ref="Q24" r:id="rId38" xr:uid="{00000000-0004-0000-0000-000025000000}"/>
    <hyperlink ref="P25" r:id="rId39" xr:uid="{00000000-0004-0000-0000-000026000000}"/>
    <hyperlink ref="Q25" r:id="rId40" xr:uid="{00000000-0004-0000-0000-000027000000}"/>
    <hyperlink ref="P26" r:id="rId41" xr:uid="{00000000-0004-0000-0000-000028000000}"/>
    <hyperlink ref="Q26" r:id="rId42" xr:uid="{00000000-0004-0000-0000-000029000000}"/>
    <hyperlink ref="P27" r:id="rId43" xr:uid="{00000000-0004-0000-0000-00002A000000}"/>
    <hyperlink ref="Q27" r:id="rId44" xr:uid="{00000000-0004-0000-0000-00002B000000}"/>
    <hyperlink ref="P28" r:id="rId45" xr:uid="{00000000-0004-0000-0000-00002C000000}"/>
    <hyperlink ref="Q28" r:id="rId46" xr:uid="{00000000-0004-0000-0000-00002D000000}"/>
    <hyperlink ref="P29" r:id="rId47" xr:uid="{00000000-0004-0000-0000-00002E000000}"/>
    <hyperlink ref="Q29" r:id="rId48" xr:uid="{00000000-0004-0000-0000-00002F000000}"/>
    <hyperlink ref="P30" r:id="rId49" xr:uid="{00000000-0004-0000-0000-000030000000}"/>
    <hyperlink ref="Q30" r:id="rId50" xr:uid="{00000000-0004-0000-0000-000031000000}"/>
    <hyperlink ref="P31" r:id="rId51" xr:uid="{00000000-0004-0000-0000-000032000000}"/>
    <hyperlink ref="Q31" r:id="rId52" xr:uid="{00000000-0004-0000-0000-000033000000}"/>
    <hyperlink ref="P32" r:id="rId53" xr:uid="{00000000-0004-0000-0000-000034000000}"/>
    <hyperlink ref="Q32" r:id="rId54" xr:uid="{00000000-0004-0000-0000-000035000000}"/>
    <hyperlink ref="P33" r:id="rId55" xr:uid="{00000000-0004-0000-0000-000036000000}"/>
    <hyperlink ref="Q33" r:id="rId56" xr:uid="{00000000-0004-0000-0000-000037000000}"/>
    <hyperlink ref="P34" r:id="rId57" xr:uid="{00000000-0004-0000-0000-000038000000}"/>
    <hyperlink ref="Q34" r:id="rId58" xr:uid="{00000000-0004-0000-0000-000039000000}"/>
    <hyperlink ref="P35" r:id="rId59" xr:uid="{00000000-0004-0000-0000-00003A000000}"/>
    <hyperlink ref="Q35" r:id="rId60" xr:uid="{00000000-0004-0000-0000-00003B000000}"/>
    <hyperlink ref="P36" r:id="rId61" xr:uid="{00000000-0004-0000-0000-00003C000000}"/>
    <hyperlink ref="Q36" r:id="rId62" xr:uid="{00000000-0004-0000-0000-00003D000000}"/>
    <hyperlink ref="P37" r:id="rId63" xr:uid="{00000000-0004-0000-0000-00003E000000}"/>
    <hyperlink ref="Q37" r:id="rId64" xr:uid="{00000000-0004-0000-0000-00003F000000}"/>
    <hyperlink ref="P38" r:id="rId65" xr:uid="{00000000-0004-0000-0000-000040000000}"/>
    <hyperlink ref="Q38" r:id="rId66" xr:uid="{00000000-0004-0000-0000-000041000000}"/>
    <hyperlink ref="P39" r:id="rId67" xr:uid="{00000000-0004-0000-0000-000042000000}"/>
    <hyperlink ref="Q39" r:id="rId68" xr:uid="{00000000-0004-0000-0000-000043000000}"/>
    <hyperlink ref="P40" r:id="rId69" xr:uid="{00000000-0004-0000-0000-000044000000}"/>
    <hyperlink ref="Q40" r:id="rId70" xr:uid="{00000000-0004-0000-0000-000045000000}"/>
    <hyperlink ref="P41" r:id="rId71" xr:uid="{00000000-0004-0000-0000-000046000000}"/>
    <hyperlink ref="Q41" r:id="rId72" xr:uid="{00000000-0004-0000-0000-000047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P29"/>
  <sheetViews>
    <sheetView zoomScale="70" zoomScaleNormal="7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L23" sqref="L23"/>
    </sheetView>
  </sheetViews>
  <sheetFormatPr defaultColWidth="8.6328125" defaultRowHeight="14.5" x14ac:dyDescent="0.35"/>
  <cols>
    <col min="1" max="1" width="5" customWidth="1"/>
    <col min="2" max="2" width="9" customWidth="1"/>
    <col min="3" max="3" width="28" customWidth="1"/>
    <col min="4" max="4" width="40" customWidth="1"/>
    <col min="5" max="5" width="6" customWidth="1"/>
    <col min="6" max="6" width="8" customWidth="1"/>
    <col min="7" max="8" width="14" customWidth="1"/>
    <col min="9" max="11" width="15" customWidth="1"/>
    <col min="12" max="12" width="13" customWidth="1"/>
    <col min="13" max="13" width="12" customWidth="1"/>
    <col min="14" max="14" width="11" customWidth="1"/>
    <col min="15" max="15" width="44" customWidth="1"/>
    <col min="16" max="16" width="50" customWidth="1"/>
  </cols>
  <sheetData>
    <row r="1" spans="1:16" ht="18" x14ac:dyDescent="0.4">
      <c r="A1" s="33" t="s">
        <v>182</v>
      </c>
    </row>
    <row r="2" spans="1:16" x14ac:dyDescent="0.35">
      <c r="A2" s="30" t="s">
        <v>183</v>
      </c>
      <c r="C2" s="34" t="s">
        <v>184</v>
      </c>
    </row>
    <row r="3" spans="1:16" x14ac:dyDescent="0.35">
      <c r="A3" s="30" t="s">
        <v>185</v>
      </c>
      <c r="C3" s="34" t="s">
        <v>186</v>
      </c>
    </row>
    <row r="4" spans="1:16" x14ac:dyDescent="0.35">
      <c r="A4" s="32" t="s">
        <v>187</v>
      </c>
    </row>
    <row r="6" spans="1:16" ht="31.5" customHeight="1" x14ac:dyDescent="0.35">
      <c r="A6" s="35" t="s">
        <v>3</v>
      </c>
      <c r="B6" s="35" t="s">
        <v>188</v>
      </c>
      <c r="C6" s="35" t="s">
        <v>5</v>
      </c>
      <c r="D6" s="35" t="s">
        <v>6</v>
      </c>
      <c r="E6" s="35" t="s">
        <v>8</v>
      </c>
      <c r="F6" s="35" t="s">
        <v>9</v>
      </c>
      <c r="G6" s="35" t="s">
        <v>10</v>
      </c>
      <c r="H6" s="35" t="s">
        <v>11</v>
      </c>
      <c r="I6" s="35" t="s">
        <v>12</v>
      </c>
      <c r="J6" s="35" t="s">
        <v>13</v>
      </c>
      <c r="K6" s="35" t="s">
        <v>293</v>
      </c>
      <c r="L6" s="35" t="s">
        <v>16</v>
      </c>
      <c r="M6" s="35" t="s">
        <v>17</v>
      </c>
      <c r="N6" s="35" t="s">
        <v>18</v>
      </c>
      <c r="O6" s="35" t="s">
        <v>189</v>
      </c>
      <c r="P6" s="35" t="s">
        <v>19</v>
      </c>
    </row>
    <row r="7" spans="1:16" ht="37.5" x14ac:dyDescent="0.35">
      <c r="A7" s="36">
        <v>1</v>
      </c>
      <c r="B7" s="36">
        <v>1</v>
      </c>
      <c r="C7" s="37" t="str">
        <f>'Daftar Belanja'!C5</f>
        <v>Meter energi 1 fasa (Modbus)</v>
      </c>
      <c r="D7" s="7" t="str">
        <f>'Daftar Belanja'!D5</f>
        <v>CHINT DDSU666 — varian RS485 Modbus, 5(80)A, 230V 1P2W</v>
      </c>
      <c r="E7" s="36">
        <f>'Daftar Belanja'!F5</f>
        <v>1</v>
      </c>
      <c r="F7" s="7" t="str">
        <f>'Daftar Belanja'!G5</f>
        <v>unit</v>
      </c>
      <c r="G7" s="10">
        <f>'Daftar Belanja'!H5</f>
        <v>720000</v>
      </c>
      <c r="H7" s="10">
        <f>'Daftar Belanja'!I5</f>
        <v>800000</v>
      </c>
      <c r="I7" s="10">
        <f>'Daftar Belanja'!J5</f>
        <v>720000</v>
      </c>
      <c r="J7" s="10">
        <f>'Daftar Belanja'!K5</f>
        <v>800000</v>
      </c>
      <c r="K7" s="12">
        <f>'Daftar Belanja'!N5</f>
        <v>329999</v>
      </c>
      <c r="L7" s="12" t="str">
        <f>'Daftar Belanja'!O5</f>
        <v>Diterima</v>
      </c>
      <c r="M7" s="13" t="s">
        <v>29</v>
      </c>
      <c r="N7" s="13" t="s">
        <v>30</v>
      </c>
      <c r="O7" s="7" t="s">
        <v>190</v>
      </c>
      <c r="P7" s="7" t="str">
        <f>IF('Daftar Belanja'!R5="","",'Daftar Belanja'!R5)</f>
        <v>WAJIB ada tulisan 'RS485' di judul. Versi tanpa RS485 (±Rp410 rb) TIDAK bisa dibaca ESP32. Minta penjual foto terminal 24/25 (A/B).</v>
      </c>
    </row>
    <row r="8" spans="1:16" ht="26" x14ac:dyDescent="0.35">
      <c r="A8" s="36">
        <v>2</v>
      </c>
      <c r="B8" s="36">
        <v>8</v>
      </c>
      <c r="C8" s="37" t="str">
        <f>'Daftar Belanja'!C13</f>
        <v>Adaptor USB–RS485 (konfigurasi meter dari laptop)</v>
      </c>
      <c r="D8" s="7" t="str">
        <f>'Daftar Belanja'!D13</f>
        <v>USB to RS485 converter CH340</v>
      </c>
      <c r="E8" s="36">
        <f>'Daftar Belanja'!F13</f>
        <v>1</v>
      </c>
      <c r="F8" s="7" t="str">
        <f>'Daftar Belanja'!G13</f>
        <v>unit</v>
      </c>
      <c r="G8" s="10">
        <f>'Daftar Belanja'!H13</f>
        <v>15000</v>
      </c>
      <c r="H8" s="10">
        <f>'Daftar Belanja'!I13</f>
        <v>30000</v>
      </c>
      <c r="I8" s="10">
        <f>'Daftar Belanja'!J13</f>
        <v>15000</v>
      </c>
      <c r="J8" s="10">
        <f>'Daftar Belanja'!K13</f>
        <v>30000</v>
      </c>
      <c r="K8" s="12">
        <f>'Daftar Belanja'!N13</f>
        <v>37000</v>
      </c>
      <c r="L8" s="12" t="str">
        <f>'Daftar Belanja'!O13</f>
        <v>Diterima</v>
      </c>
      <c r="M8" s="13" t="s">
        <v>29</v>
      </c>
      <c r="N8" s="13" t="s">
        <v>30</v>
      </c>
      <c r="O8" s="7" t="s">
        <v>191</v>
      </c>
      <c r="P8" s="7" t="str">
        <f>IF('Daftar Belanja'!R13="","",'Daftar Belanja'!R13)</f>
        <v>Sangat membantu saat uji meja: baca meter dari laptop sebelum firmware ESP32 siap.</v>
      </c>
    </row>
    <row r="9" spans="1:16" ht="25" x14ac:dyDescent="0.35">
      <c r="A9" s="36">
        <v>3</v>
      </c>
      <c r="B9" s="36">
        <v>11</v>
      </c>
      <c r="C9" s="37" t="str">
        <f>'Daftar Belanja'!C16</f>
        <v>Kapasitor step (utama)</v>
      </c>
      <c r="D9" s="7" t="str">
        <f>'Daftar Belanja'!D16</f>
        <v>CBB60 6 µF 450 VAC ±5%, model kabel</v>
      </c>
      <c r="E9" s="36">
        <f>'Daftar Belanja'!F16</f>
        <v>4</v>
      </c>
      <c r="F9" s="7" t="str">
        <f>'Daftar Belanja'!G16</f>
        <v>pcs</v>
      </c>
      <c r="G9" s="10">
        <f>'Daftar Belanja'!H16</f>
        <v>10000</v>
      </c>
      <c r="H9" s="10">
        <f>'Daftar Belanja'!I16</f>
        <v>35000</v>
      </c>
      <c r="I9" s="10">
        <f>'Daftar Belanja'!J16</f>
        <v>40000</v>
      </c>
      <c r="J9" s="10">
        <f>'Daftar Belanja'!K16</f>
        <v>140000</v>
      </c>
      <c r="K9" s="12">
        <f>'Daftar Belanja'!N16</f>
        <v>60000</v>
      </c>
      <c r="L9" s="12" t="str">
        <f>'Daftar Belanja'!O16</f>
        <v>Diterima</v>
      </c>
      <c r="M9" s="13" t="s">
        <v>29</v>
      </c>
      <c r="N9" s="13" t="s">
        <v>30</v>
      </c>
      <c r="O9" s="7" t="s">
        <v>192</v>
      </c>
      <c r="P9" s="7" t="str">
        <f>IF('Daftar Belanja'!R16="","",'Daftar Belanja'!R16)</f>
        <v>Harus CBB60/CBB65 tipe AC 450 V. JANGAN kapasitor elektrolit (ELCO) atau kapasitor start motor (CD60).</v>
      </c>
    </row>
    <row r="10" spans="1:16" ht="25" x14ac:dyDescent="0.35">
      <c r="A10" s="36">
        <v>4</v>
      </c>
      <c r="B10" s="36">
        <v>14</v>
      </c>
      <c r="C10" s="37" t="str">
        <f>'Daftar Belanja'!C19</f>
        <v>Resistor pelepas muatan</v>
      </c>
      <c r="D10" s="7" t="str">
        <f>'Daftar Belanja'!D19</f>
        <v>Resistor metal film 100 kΩ 1 W</v>
      </c>
      <c r="E10" s="36">
        <f>'Daftar Belanja'!F19</f>
        <v>10</v>
      </c>
      <c r="F10" s="7" t="str">
        <f>'Daftar Belanja'!G19</f>
        <v>pcs</v>
      </c>
      <c r="G10" s="10">
        <f>'Daftar Belanja'!H19</f>
        <v>500</v>
      </c>
      <c r="H10" s="10">
        <f>'Daftar Belanja'!I19</f>
        <v>1500</v>
      </c>
      <c r="I10" s="10">
        <f>'Daftar Belanja'!J19</f>
        <v>5000</v>
      </c>
      <c r="J10" s="10">
        <f>'Daftar Belanja'!K19</f>
        <v>15000</v>
      </c>
      <c r="K10" s="12">
        <f>'Daftar Belanja'!N19</f>
        <v>10000</v>
      </c>
      <c r="L10" s="12" t="str">
        <f>'Daftar Belanja'!O19</f>
        <v>Diterima</v>
      </c>
      <c r="M10" s="13" t="s">
        <v>29</v>
      </c>
      <c r="N10" s="13" t="s">
        <v>30</v>
      </c>
      <c r="O10" s="7" t="s">
        <v>193</v>
      </c>
      <c r="P10" s="7" t="str">
        <f>IF('Daftar Belanja'!R19="","",'Daftar Belanja'!R19)</f>
        <v>Rating minimal 1 W. Dipasang paralel dengan setiap kapasitor.</v>
      </c>
    </row>
    <row r="11" spans="1:16" x14ac:dyDescent="0.35">
      <c r="A11" s="36">
        <v>5</v>
      </c>
      <c r="B11" s="36">
        <v>15</v>
      </c>
      <c r="C11" s="37" t="str">
        <f>'Daftar Belanja'!C20</f>
        <v>Fuse holder panel</v>
      </c>
      <c r="D11" s="7" t="str">
        <f>'Daftar Belanja'!D20</f>
        <v>Fuse holder 5×20 mm (panel mount atau PCB)</v>
      </c>
      <c r="E11" s="36">
        <f>'Daftar Belanja'!F20</f>
        <v>4</v>
      </c>
      <c r="F11" s="7" t="str">
        <f>'Daftar Belanja'!G20</f>
        <v>pcs</v>
      </c>
      <c r="G11" s="10">
        <f>'Daftar Belanja'!H20</f>
        <v>5000</v>
      </c>
      <c r="H11" s="10">
        <f>'Daftar Belanja'!I20</f>
        <v>15000</v>
      </c>
      <c r="I11" s="10">
        <f>'Daftar Belanja'!J20</f>
        <v>20000</v>
      </c>
      <c r="J11" s="10">
        <f>'Daftar Belanja'!K20</f>
        <v>60000</v>
      </c>
      <c r="K11" s="12">
        <f>'Daftar Belanja'!N20</f>
        <v>80000</v>
      </c>
      <c r="L11" s="12" t="str">
        <f>'Daftar Belanja'!O20</f>
        <v>Diterima</v>
      </c>
      <c r="M11" s="13" t="s">
        <v>29</v>
      </c>
      <c r="N11" s="13" t="s">
        <v>30</v>
      </c>
      <c r="O11" s="7" t="s">
        <v>194</v>
      </c>
      <c r="P11" s="7" t="str">
        <f>IF('Daftar Belanja'!R20="","",'Daftar Belanja'!R20)</f>
        <v>3 untuk step kapasitor + 1 untuk input HLK-5M05.</v>
      </c>
    </row>
    <row r="12" spans="1:16" ht="25" x14ac:dyDescent="0.35">
      <c r="A12" s="36">
        <v>6</v>
      </c>
      <c r="B12" s="36">
        <v>16</v>
      </c>
      <c r="C12" s="37" t="str">
        <f>'Daftar Belanja'!C21</f>
        <v>Sekring step kapasitor</v>
      </c>
      <c r="D12" s="7" t="str">
        <f>'Daftar Belanja'!D21</f>
        <v>Fuse kaca 5×20 mm T1A 250V (slow-blow)</v>
      </c>
      <c r="E12" s="36">
        <f>'Daftar Belanja'!F21</f>
        <v>10</v>
      </c>
      <c r="F12" s="7" t="str">
        <f>'Daftar Belanja'!G21</f>
        <v>pcs</v>
      </c>
      <c r="G12" s="10">
        <f>'Daftar Belanja'!H21</f>
        <v>1000</v>
      </c>
      <c r="H12" s="10">
        <f>'Daftar Belanja'!I21</f>
        <v>3000</v>
      </c>
      <c r="I12" s="10">
        <f>'Daftar Belanja'!J21</f>
        <v>10000</v>
      </c>
      <c r="J12" s="10">
        <f>'Daftar Belanja'!K21</f>
        <v>30000</v>
      </c>
      <c r="K12" s="12">
        <f>'Daftar Belanja'!N21</f>
        <v>40000</v>
      </c>
      <c r="L12" s="12" t="str">
        <f>'Daftar Belanja'!O21</f>
        <v>Diterima</v>
      </c>
      <c r="M12" s="13" t="s">
        <v>29</v>
      </c>
      <c r="N12" s="13" t="s">
        <v>30</v>
      </c>
      <c r="O12" s="7" t="s">
        <v>195</v>
      </c>
      <c r="P12" s="7" t="str">
        <f>IF('Daftar Belanja'!R21="","",'Daftar Belanja'!R21)</f>
        <v>Tipe T (slow-blow) agar tidak putus saat arus sambung kapasitor.</v>
      </c>
    </row>
    <row r="13" spans="1:16" ht="37.5" x14ac:dyDescent="0.35">
      <c r="A13" s="36">
        <v>7</v>
      </c>
      <c r="B13" s="36">
        <v>18</v>
      </c>
      <c r="C13" s="37" t="str">
        <f>'Daftar Belanja'!C23</f>
        <v>Motor induksi 1 fasa (beban induktif utama)</v>
      </c>
      <c r="D13" s="7" t="str">
        <f>'Daftar Belanja'!D23</f>
        <v>Motor 1/4 HP (180 W) 4 pole, tipe kapasitor-start — mis. MAXPUMP YC712-4 / Yama 1/4 HP</v>
      </c>
      <c r="E13" s="36">
        <f>'Daftar Belanja'!F23</f>
        <v>1</v>
      </c>
      <c r="F13" s="7" t="str">
        <f>'Daftar Belanja'!G23</f>
        <v>unit</v>
      </c>
      <c r="G13" s="10">
        <f>'Daftar Belanja'!H23</f>
        <v>890000</v>
      </c>
      <c r="H13" s="10">
        <f>'Daftar Belanja'!I23</f>
        <v>1110000</v>
      </c>
      <c r="I13" s="10">
        <f>'Daftar Belanja'!J23</f>
        <v>890000</v>
      </c>
      <c r="J13" s="10">
        <f>'Daftar Belanja'!K23</f>
        <v>1110000</v>
      </c>
      <c r="K13" s="12">
        <f>'Daftar Belanja'!N23</f>
        <v>0</v>
      </c>
      <c r="L13" s="12" t="str">
        <f>'Daftar Belanja'!O23</f>
        <v>Belum</v>
      </c>
      <c r="M13" s="13" t="s">
        <v>29</v>
      </c>
      <c r="N13" s="13" t="s">
        <v>30</v>
      </c>
      <c r="O13" s="7" t="s">
        <v>196</v>
      </c>
      <c r="P13" s="7" t="str">
        <f>IF('Daftar Belanja'!R23="","",'Daftar Belanja'!R23)</f>
        <v>Utamakan kode 'YC' (kapasitor start). Hindari 'YL'/'YY' (ada kapasitor run → cos φ sudah tinggi, efek koreksi kurang terlihat). Tanyakan ke penjual.</v>
      </c>
    </row>
    <row r="14" spans="1:16" ht="25" x14ac:dyDescent="0.35">
      <c r="A14" s="36">
        <v>8</v>
      </c>
      <c r="B14" s="36">
        <v>24</v>
      </c>
      <c r="C14" s="37" t="str">
        <f>'Daftar Belanja'!C29</f>
        <v>Pengaman utama</v>
      </c>
      <c r="D14" s="7" t="str">
        <f>'Daftar Belanja'!D29</f>
        <v>RCBO 1P+N 6 A 30 mA — mis. Chint NXBLE-32 / Schneider Domae DOMD01606</v>
      </c>
      <c r="E14" s="36">
        <f>'Daftar Belanja'!F29</f>
        <v>1</v>
      </c>
      <c r="F14" s="7" t="str">
        <f>'Daftar Belanja'!G29</f>
        <v>unit</v>
      </c>
      <c r="G14" s="10">
        <f>'Daftar Belanja'!H29</f>
        <v>76000</v>
      </c>
      <c r="H14" s="10">
        <f>'Daftar Belanja'!I29</f>
        <v>200000</v>
      </c>
      <c r="I14" s="10">
        <f>'Daftar Belanja'!J29</f>
        <v>76000</v>
      </c>
      <c r="J14" s="10">
        <f>'Daftar Belanja'!K29</f>
        <v>200000</v>
      </c>
      <c r="K14" s="12">
        <f>'Daftar Belanja'!N29</f>
        <v>110000</v>
      </c>
      <c r="L14" s="12" t="str">
        <f>'Daftar Belanja'!O29</f>
        <v>Diterima</v>
      </c>
      <c r="M14" s="13" t="s">
        <v>29</v>
      </c>
      <c r="N14" s="13" t="s">
        <v>30</v>
      </c>
      <c r="O14" s="7" t="s">
        <v>197</v>
      </c>
      <c r="P14" s="7" t="str">
        <f>IF('Daftar Belanja'!R29="","",'Daftar Belanja'!R29)</f>
        <v>Pilih 6 A dan 30 mA (bukan 300 mA).</v>
      </c>
    </row>
    <row r="15" spans="1:16" ht="25" x14ac:dyDescent="0.35">
      <c r="A15" s="36">
        <v>9</v>
      </c>
      <c r="B15" s="36">
        <v>27</v>
      </c>
      <c r="C15" s="37" t="str">
        <f>'Daftar Belanja'!C32</f>
        <v>Box panel</v>
      </c>
      <c r="D15" s="7" t="str">
        <f>'Daftar Belanja'!D32</f>
        <v>Box panel indoor 30×40×20 cm, pintu akrilik, plat 1,2 mm</v>
      </c>
      <c r="E15" s="36">
        <f>'Daftar Belanja'!F32</f>
        <v>1</v>
      </c>
      <c r="F15" s="7" t="str">
        <f>'Daftar Belanja'!G32</f>
        <v>unit</v>
      </c>
      <c r="G15" s="10">
        <f>'Daftar Belanja'!H32</f>
        <v>250000</v>
      </c>
      <c r="H15" s="10">
        <f>'Daftar Belanja'!I32</f>
        <v>450000</v>
      </c>
      <c r="I15" s="10">
        <f>'Daftar Belanja'!J32</f>
        <v>250000</v>
      </c>
      <c r="J15" s="10">
        <f>'Daftar Belanja'!K32</f>
        <v>450000</v>
      </c>
      <c r="K15" s="12">
        <f>'Daftar Belanja'!N32</f>
        <v>155000</v>
      </c>
      <c r="L15" s="12" t="str">
        <f>'Daftar Belanja'!O32</f>
        <v>Diterima</v>
      </c>
      <c r="M15" s="13" t="s">
        <v>29</v>
      </c>
      <c r="N15" s="13" t="s">
        <v>30</v>
      </c>
      <c r="O15" s="7" t="s">
        <v>198</v>
      </c>
      <c r="P15" s="7" t="str">
        <f>IF('Daftar Belanja'!R32="","",'Daftar Belanja'!R32)</f>
        <v>Pintu akrilik agar komponen terlihat juri tanpa membuka panel.</v>
      </c>
    </row>
    <row r="16" spans="1:16" x14ac:dyDescent="0.35">
      <c r="A16" s="36">
        <v>10</v>
      </c>
      <c r="B16" s="36">
        <v>28</v>
      </c>
      <c r="C16" s="37" t="str">
        <f>'Daftar Belanja'!C33</f>
        <v>Rel DIN</v>
      </c>
      <c r="D16" s="7" t="str">
        <f>'Daftar Belanja'!D33</f>
        <v>Rel DIN 35 mm (top hat), 1 meter</v>
      </c>
      <c r="E16" s="36">
        <f>'Daftar Belanja'!F33</f>
        <v>1</v>
      </c>
      <c r="F16" s="7" t="str">
        <f>'Daftar Belanja'!G33</f>
        <v>batang</v>
      </c>
      <c r="G16" s="10">
        <f>'Daftar Belanja'!H33</f>
        <v>15000</v>
      </c>
      <c r="H16" s="10">
        <f>'Daftar Belanja'!I33</f>
        <v>30000</v>
      </c>
      <c r="I16" s="10">
        <f>'Daftar Belanja'!J33</f>
        <v>15000</v>
      </c>
      <c r="J16" s="10">
        <f>'Daftar Belanja'!K33</f>
        <v>30000</v>
      </c>
      <c r="K16" s="12">
        <f>'Daftar Belanja'!N33</f>
        <v>18000</v>
      </c>
      <c r="L16" s="12" t="str">
        <f>'Daftar Belanja'!O33</f>
        <v>Diterima</v>
      </c>
      <c r="M16" s="13" t="s">
        <v>29</v>
      </c>
      <c r="N16" s="13" t="s">
        <v>30</v>
      </c>
      <c r="O16" s="7" t="s">
        <v>199</v>
      </c>
      <c r="P16" s="7" t="str">
        <f>IF('Daftar Belanja'!R33="","",'Daftar Belanja'!R33)</f>
        <v/>
      </c>
    </row>
    <row r="17" spans="1:16" x14ac:dyDescent="0.35">
      <c r="A17" s="36">
        <v>11</v>
      </c>
      <c r="B17" s="36">
        <v>29</v>
      </c>
      <c r="C17" s="37" t="str">
        <f>'Daftar Belanja'!C34</f>
        <v>Terminal block</v>
      </c>
      <c r="D17" s="7" t="str">
        <f>'Daftar Belanja'!D34</f>
        <v>Terminal UK2.5B + end stopper + jumper bar</v>
      </c>
      <c r="E17" s="36">
        <f>'Daftar Belanja'!F34</f>
        <v>20</v>
      </c>
      <c r="F17" s="7" t="str">
        <f>'Daftar Belanja'!G34</f>
        <v>pcs</v>
      </c>
      <c r="G17" s="10">
        <f>'Daftar Belanja'!H34</f>
        <v>2000</v>
      </c>
      <c r="H17" s="10">
        <f>'Daftar Belanja'!I34</f>
        <v>5000</v>
      </c>
      <c r="I17" s="10">
        <f>'Daftar Belanja'!J34</f>
        <v>40000</v>
      </c>
      <c r="J17" s="10">
        <f>'Daftar Belanja'!K34</f>
        <v>100000</v>
      </c>
      <c r="K17" s="12">
        <f>'Daftar Belanja'!N34</f>
        <v>35000</v>
      </c>
      <c r="L17" s="12" t="str">
        <f>'Daftar Belanja'!O34</f>
        <v>Diterima</v>
      </c>
      <c r="M17" s="13" t="s">
        <v>29</v>
      </c>
      <c r="N17" s="13" t="s">
        <v>30</v>
      </c>
      <c r="O17" s="7" t="s">
        <v>200</v>
      </c>
      <c r="P17" s="7" t="str">
        <f>IF('Daftar Belanja'!R34="","",'Daftar Belanja'!R34)</f>
        <v>Siapkan juga 2–4 end stopper.</v>
      </c>
    </row>
    <row r="18" spans="1:16" ht="25" x14ac:dyDescent="0.35">
      <c r="A18" s="36">
        <v>12</v>
      </c>
      <c r="B18" s="36">
        <v>30</v>
      </c>
      <c r="C18" s="37" t="str">
        <f>'Daftar Belanja'!C35</f>
        <v>Kabel daya panel</v>
      </c>
      <c r="D18" s="7" t="str">
        <f>'Daftar Belanja'!D35</f>
        <v>Kabel NYAF 1,5 mm² — merah (L), biru/hitam (N), kuning-hijau (PE)</v>
      </c>
      <c r="E18" s="36">
        <f>'Daftar Belanja'!F35</f>
        <v>30</v>
      </c>
      <c r="F18" s="7" t="str">
        <f>'Daftar Belanja'!G35</f>
        <v>meter</v>
      </c>
      <c r="G18" s="10">
        <f>'Daftar Belanja'!H35</f>
        <v>3000</v>
      </c>
      <c r="H18" s="10">
        <f>'Daftar Belanja'!I35</f>
        <v>5000</v>
      </c>
      <c r="I18" s="10">
        <f>'Daftar Belanja'!J35</f>
        <v>90000</v>
      </c>
      <c r="J18" s="10">
        <f>'Daftar Belanja'!K35</f>
        <v>150000</v>
      </c>
      <c r="K18" s="12">
        <f>'Daftar Belanja'!N35</f>
        <v>0</v>
      </c>
      <c r="L18" s="12" t="str">
        <f>'Daftar Belanja'!O35</f>
        <v>Belum</v>
      </c>
      <c r="M18" s="13" t="s">
        <v>29</v>
      </c>
      <c r="N18" s="13" t="s">
        <v>30</v>
      </c>
      <c r="O18" s="7" t="s">
        <v>201</v>
      </c>
      <c r="P18" s="7" t="str">
        <f>IF('Daftar Belanja'!R35="","",'Daftar Belanja'!R35)</f>
        <v>±10 m per warna.</v>
      </c>
    </row>
    <row r="19" spans="1:16" x14ac:dyDescent="0.35">
      <c r="A19" s="36">
        <v>13</v>
      </c>
      <c r="B19" s="36">
        <v>31</v>
      </c>
      <c r="C19" s="37" t="str">
        <f>'Daftar Belanja'!C36</f>
        <v>Kabel input + steker</v>
      </c>
      <c r="D19" s="7" t="str">
        <f>'Daftar Belanja'!D36</f>
        <v>Kabel NYMHY 3×1,5 mm² 3 m + steker arde</v>
      </c>
      <c r="E19" s="36">
        <f>'Daftar Belanja'!F36</f>
        <v>1</v>
      </c>
      <c r="F19" s="7" t="str">
        <f>'Daftar Belanja'!G36</f>
        <v>set</v>
      </c>
      <c r="G19" s="10">
        <f>'Daftar Belanja'!H36</f>
        <v>40000</v>
      </c>
      <c r="H19" s="10">
        <f>'Daftar Belanja'!I36</f>
        <v>80000</v>
      </c>
      <c r="I19" s="10">
        <f>'Daftar Belanja'!J36</f>
        <v>40000</v>
      </c>
      <c r="J19" s="10">
        <f>'Daftar Belanja'!K36</f>
        <v>80000</v>
      </c>
      <c r="K19" s="12">
        <f>'Daftar Belanja'!N36</f>
        <v>0</v>
      </c>
      <c r="L19" s="12" t="str">
        <f>'Daftar Belanja'!O36</f>
        <v>Belum</v>
      </c>
      <c r="M19" s="13" t="s">
        <v>29</v>
      </c>
      <c r="N19" s="13" t="s">
        <v>30</v>
      </c>
      <c r="O19" s="7" t="s">
        <v>202</v>
      </c>
      <c r="P19" s="7" t="str">
        <f>IF('Daftar Belanja'!R36="","",'Daftar Belanja'!R36)</f>
        <v/>
      </c>
    </row>
    <row r="20" spans="1:16" ht="37.5" x14ac:dyDescent="0.35">
      <c r="A20" s="36">
        <v>14</v>
      </c>
      <c r="B20" s="36">
        <v>36</v>
      </c>
      <c r="C20" s="37" t="str">
        <f>'Daftar Belanja'!C41</f>
        <v>Multimeter digital</v>
      </c>
      <c r="D20" s="7" t="str">
        <f>'Daftar Belanja'!D41</f>
        <v>UNI-T UT33D+ atau setara</v>
      </c>
      <c r="E20" s="36">
        <f>'Daftar Belanja'!F41</f>
        <v>1</v>
      </c>
      <c r="F20" s="7" t="str">
        <f>'Daftar Belanja'!G41</f>
        <v>unit</v>
      </c>
      <c r="G20" s="10">
        <f>'Daftar Belanja'!H41</f>
        <v>100000</v>
      </c>
      <c r="H20" s="10">
        <f>'Daftar Belanja'!I41</f>
        <v>250000</v>
      </c>
      <c r="I20" s="10">
        <f>'Daftar Belanja'!J41</f>
        <v>0</v>
      </c>
      <c r="J20" s="10">
        <f>'Daftar Belanja'!K41</f>
        <v>0</v>
      </c>
      <c r="K20" s="12">
        <f>'Daftar Belanja'!N41</f>
        <v>0</v>
      </c>
      <c r="L20" s="12" t="str">
        <f>'Daftar Belanja'!O41</f>
        <v>Sudah punya</v>
      </c>
      <c r="M20" s="13" t="s">
        <v>29</v>
      </c>
      <c r="N20" s="13" t="s">
        <v>30</v>
      </c>
      <c r="O20" s="7" t="s">
        <v>203</v>
      </c>
      <c r="P20" s="7" t="str">
        <f>IF('Daftar Belanja'!R41="","",'Daftar Belanja'!R41)</f>
        <v>Lewati bila sudah punya.</v>
      </c>
    </row>
    <row r="21" spans="1:16" x14ac:dyDescent="0.35">
      <c r="C21" s="28" t="s">
        <v>204</v>
      </c>
      <c r="I21" s="29">
        <f>SUM(I7:I20)</f>
        <v>2211000</v>
      </c>
      <c r="J21" s="29">
        <f>SUM(J7:J20)</f>
        <v>3195000</v>
      </c>
      <c r="K21" s="29">
        <f>SUM(K7:K20)</f>
        <v>874999</v>
      </c>
    </row>
    <row r="22" spans="1:16" x14ac:dyDescent="0.35">
      <c r="C22" s="34" t="s">
        <v>205</v>
      </c>
      <c r="I22" s="30" t="str">
        <f>COUNTIF(L7:L20,"Diterima")+COUNTIF(L7:L20,"Sudah punya")&amp;" dari "&amp;COUNTA(C7:C20)&amp;" item"</f>
        <v>11 dari 14 item</v>
      </c>
    </row>
    <row r="24" spans="1:16" x14ac:dyDescent="0.35">
      <c r="A24" s="38" t="s">
        <v>206</v>
      </c>
    </row>
    <row r="25" spans="1:16" x14ac:dyDescent="0.35">
      <c r="A25" s="39" t="s">
        <v>207</v>
      </c>
      <c r="C25" s="34" t="s">
        <v>208</v>
      </c>
    </row>
    <row r="26" spans="1:16" x14ac:dyDescent="0.35">
      <c r="A26" s="39" t="s">
        <v>207</v>
      </c>
      <c r="C26" s="34" t="s">
        <v>209</v>
      </c>
    </row>
    <row r="27" spans="1:16" x14ac:dyDescent="0.35">
      <c r="A27" s="39" t="s">
        <v>207</v>
      </c>
      <c r="C27" s="34" t="s">
        <v>210</v>
      </c>
    </row>
    <row r="28" spans="1:16" x14ac:dyDescent="0.35">
      <c r="A28" s="39" t="s">
        <v>207</v>
      </c>
      <c r="C28" s="34" t="s">
        <v>211</v>
      </c>
    </row>
    <row r="29" spans="1:16" x14ac:dyDescent="0.35">
      <c r="A29" s="39" t="s">
        <v>207</v>
      </c>
      <c r="C29" s="34" t="s">
        <v>212</v>
      </c>
    </row>
  </sheetData>
  <conditionalFormatting sqref="A7:P20">
    <cfRule type="expression" dxfId="5" priority="2">
      <formula>$L7="Diterima"</formula>
    </cfRule>
    <cfRule type="expression" dxfId="4" priority="3">
      <formula>$L7="Sudah punya"</formula>
    </cfRule>
  </conditionalFormatting>
  <hyperlinks>
    <hyperlink ref="M7" r:id="rId1" xr:uid="{00000000-0004-0000-0100-000000000000}"/>
    <hyperlink ref="N7" r:id="rId2" xr:uid="{00000000-0004-0000-0100-000001000000}"/>
    <hyperlink ref="M8" r:id="rId3" xr:uid="{00000000-0004-0000-0100-000002000000}"/>
    <hyperlink ref="N8" r:id="rId4" xr:uid="{00000000-0004-0000-0100-000003000000}"/>
    <hyperlink ref="M9" r:id="rId5" xr:uid="{00000000-0004-0000-0100-000004000000}"/>
    <hyperlink ref="N9" r:id="rId6" xr:uid="{00000000-0004-0000-0100-000005000000}"/>
    <hyperlink ref="M10" r:id="rId7" xr:uid="{00000000-0004-0000-0100-000006000000}"/>
    <hyperlink ref="N10" r:id="rId8" xr:uid="{00000000-0004-0000-0100-000007000000}"/>
    <hyperlink ref="M11" r:id="rId9" xr:uid="{00000000-0004-0000-0100-000008000000}"/>
    <hyperlink ref="N11" r:id="rId10" xr:uid="{00000000-0004-0000-0100-000009000000}"/>
    <hyperlink ref="M12" r:id="rId11" xr:uid="{00000000-0004-0000-0100-00000A000000}"/>
    <hyperlink ref="N12" r:id="rId12" xr:uid="{00000000-0004-0000-0100-00000B000000}"/>
    <hyperlink ref="M13" r:id="rId13" xr:uid="{00000000-0004-0000-0100-00000C000000}"/>
    <hyperlink ref="N13" r:id="rId14" xr:uid="{00000000-0004-0000-0100-00000D000000}"/>
    <hyperlink ref="M14" r:id="rId15" xr:uid="{00000000-0004-0000-0100-00000E000000}"/>
    <hyperlink ref="N14" r:id="rId16" xr:uid="{00000000-0004-0000-0100-00000F000000}"/>
    <hyperlink ref="M15" r:id="rId17" xr:uid="{00000000-0004-0000-0100-000010000000}"/>
    <hyperlink ref="N15" r:id="rId18" xr:uid="{00000000-0004-0000-0100-000011000000}"/>
    <hyperlink ref="M16" r:id="rId19" xr:uid="{00000000-0004-0000-0100-000012000000}"/>
    <hyperlink ref="N16" r:id="rId20" xr:uid="{00000000-0004-0000-0100-000013000000}"/>
    <hyperlink ref="M17" r:id="rId21" xr:uid="{00000000-0004-0000-0100-000014000000}"/>
    <hyperlink ref="N17" r:id="rId22" xr:uid="{00000000-0004-0000-0100-000015000000}"/>
    <hyperlink ref="M18" r:id="rId23" xr:uid="{00000000-0004-0000-0100-000016000000}"/>
    <hyperlink ref="N18" r:id="rId24" xr:uid="{00000000-0004-0000-0100-000017000000}"/>
    <hyperlink ref="M19" r:id="rId25" xr:uid="{00000000-0004-0000-0100-000018000000}"/>
    <hyperlink ref="N19" r:id="rId26" xr:uid="{00000000-0004-0000-0100-000019000000}"/>
    <hyperlink ref="M20" r:id="rId27" xr:uid="{00000000-0004-0000-0100-00001A000000}"/>
    <hyperlink ref="N20" r:id="rId28" xr:uid="{00000000-0004-0000-0100-00001B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5A11"/>
    <pageSetUpPr fitToPage="1"/>
  </sheetPr>
  <dimension ref="A1:P30"/>
  <sheetViews>
    <sheetView zoomScale="90" zoomScaleNormal="90" workbookViewId="0">
      <pane xSplit="3" ySplit="6" topLeftCell="D12" activePane="bottomRight" state="frozen"/>
      <selection pane="topRight" activeCell="D1" sqref="D1"/>
      <selection pane="bottomLeft" activeCell="A7" sqref="A7"/>
      <selection pane="bottomRight" activeCell="J22" sqref="J22:K22"/>
    </sheetView>
  </sheetViews>
  <sheetFormatPr defaultColWidth="8.6328125" defaultRowHeight="14.5" x14ac:dyDescent="0.35"/>
  <cols>
    <col min="1" max="1" width="5" customWidth="1"/>
    <col min="2" max="2" width="9" customWidth="1"/>
    <col min="3" max="3" width="28" customWidth="1"/>
    <col min="4" max="4" width="40" customWidth="1"/>
    <col min="5" max="5" width="6" customWidth="1"/>
    <col min="6" max="6" width="8" customWidth="1"/>
    <col min="7" max="8" width="14" customWidth="1"/>
    <col min="9" max="11" width="15" customWidth="1"/>
    <col min="12" max="12" width="13" customWidth="1"/>
    <col min="13" max="13" width="12" customWidth="1"/>
    <col min="14" max="14" width="11" customWidth="1"/>
    <col min="15" max="15" width="44" customWidth="1"/>
    <col min="16" max="16" width="50" customWidth="1"/>
  </cols>
  <sheetData>
    <row r="1" spans="1:16" ht="18" x14ac:dyDescent="0.4">
      <c r="A1" s="40" t="s">
        <v>213</v>
      </c>
    </row>
    <row r="2" spans="1:16" x14ac:dyDescent="0.35">
      <c r="A2" s="30" t="s">
        <v>183</v>
      </c>
      <c r="C2" s="34" t="s">
        <v>214</v>
      </c>
    </row>
    <row r="3" spans="1:16" x14ac:dyDescent="0.35">
      <c r="A3" s="30" t="s">
        <v>185</v>
      </c>
      <c r="C3" s="34" t="s">
        <v>215</v>
      </c>
    </row>
    <row r="4" spans="1:16" x14ac:dyDescent="0.35">
      <c r="A4" s="32" t="s">
        <v>187</v>
      </c>
    </row>
    <row r="6" spans="1:16" ht="31.5" customHeight="1" x14ac:dyDescent="0.35">
      <c r="A6" s="41" t="s">
        <v>3</v>
      </c>
      <c r="B6" s="41" t="s">
        <v>188</v>
      </c>
      <c r="C6" s="41" t="s">
        <v>5</v>
      </c>
      <c r="D6" s="41" t="s">
        <v>6</v>
      </c>
      <c r="E6" s="41" t="s">
        <v>8</v>
      </c>
      <c r="F6" s="41" t="s">
        <v>9</v>
      </c>
      <c r="G6" s="41" t="s">
        <v>10</v>
      </c>
      <c r="H6" s="41" t="s">
        <v>11</v>
      </c>
      <c r="I6" s="41" t="s">
        <v>12</v>
      </c>
      <c r="J6" s="41" t="s">
        <v>13</v>
      </c>
      <c r="K6" s="41" t="s">
        <v>294</v>
      </c>
      <c r="L6" s="41" t="s">
        <v>16</v>
      </c>
      <c r="M6" s="41" t="s">
        <v>17</v>
      </c>
      <c r="N6" s="41" t="s">
        <v>18</v>
      </c>
      <c r="O6" s="41" t="s">
        <v>189</v>
      </c>
      <c r="P6" s="41" t="s">
        <v>19</v>
      </c>
    </row>
    <row r="7" spans="1:16" ht="26" x14ac:dyDescent="0.35">
      <c r="A7" s="36">
        <v>1</v>
      </c>
      <c r="B7" s="36">
        <v>2</v>
      </c>
      <c r="C7" s="37" t="str">
        <f>'Daftar Belanja'!C6</f>
        <v>Mikrokontroler / edge controller</v>
      </c>
      <c r="D7" s="7" t="str">
        <f>'Daftar Belanja'!D6</f>
        <v>ESP32 DevKit V1 — modul ESP-WROOM-32, 30 pin, USB-C</v>
      </c>
      <c r="E7" s="36">
        <f>'Daftar Belanja'!F6</f>
        <v>2</v>
      </c>
      <c r="F7" s="7" t="str">
        <f>'Daftar Belanja'!G6</f>
        <v>unit</v>
      </c>
      <c r="G7" s="10">
        <f>'Daftar Belanja'!H6</f>
        <v>65000</v>
      </c>
      <c r="H7" s="10">
        <f>'Daftar Belanja'!I6</f>
        <v>100000</v>
      </c>
      <c r="I7" s="10">
        <f>'Daftar Belanja'!J6</f>
        <v>0</v>
      </c>
      <c r="J7" s="10">
        <f>'Daftar Belanja'!K6</f>
        <v>0</v>
      </c>
      <c r="K7" s="12">
        <f>'Daftar Belanja'!N6</f>
        <v>0</v>
      </c>
      <c r="L7" s="12" t="str">
        <f>'Daftar Belanja'!O6</f>
        <v>Sudah punya</v>
      </c>
      <c r="M7" s="13" t="s">
        <v>29</v>
      </c>
      <c r="N7" s="13" t="s">
        <v>30</v>
      </c>
      <c r="O7" s="7" t="s">
        <v>216</v>
      </c>
      <c r="P7" s="7" t="str">
        <f>IF('Daftar Belanja'!R6="","",'Daftar Belanja'!R6)</f>
        <v>Pilih WROOM-32 (bukan WROVER — GPIO16/17 dipakai PSRAM). Beli 2: satu cadangan bila rusak saat demo.</v>
      </c>
    </row>
    <row r="8" spans="1:16" ht="25" x14ac:dyDescent="0.35">
      <c r="A8" s="36">
        <v>2</v>
      </c>
      <c r="B8" s="36">
        <v>3</v>
      </c>
      <c r="C8" s="37" t="str">
        <f>'Daftar Belanja'!C7</f>
        <v>Modul komunikasi RS485</v>
      </c>
      <c r="D8" s="7" t="str">
        <f>'Daftar Belanja'!D7</f>
        <v>MAX3485 TTL to RS485 module (3,3 V)</v>
      </c>
      <c r="E8" s="36">
        <f>'Daftar Belanja'!F7</f>
        <v>2</v>
      </c>
      <c r="F8" s="7" t="str">
        <f>'Daftar Belanja'!G7</f>
        <v>unit</v>
      </c>
      <c r="G8" s="10">
        <f>'Daftar Belanja'!H7</f>
        <v>33000</v>
      </c>
      <c r="H8" s="10">
        <f>'Daftar Belanja'!I7</f>
        <v>93000</v>
      </c>
      <c r="I8" s="10">
        <f>'Daftar Belanja'!J7</f>
        <v>66000</v>
      </c>
      <c r="J8" s="10">
        <f>'Daftar Belanja'!K7</f>
        <v>186000</v>
      </c>
      <c r="K8" s="12">
        <f>'Daftar Belanja'!N7</f>
        <v>136532</v>
      </c>
      <c r="L8" s="12" t="str">
        <f>'Daftar Belanja'!O7</f>
        <v>Diterima</v>
      </c>
      <c r="M8" s="13" t="s">
        <v>29</v>
      </c>
      <c r="N8" s="13" t="s">
        <v>30</v>
      </c>
      <c r="O8" s="7" t="s">
        <v>217</v>
      </c>
      <c r="P8" s="7" t="str">
        <f>IF('Daftar Belanja'!R7="","",'Daftar Belanja'!R7)</f>
        <v>JANGAN beli MAX485 biasa (5 V) — level 5 V bisa merusak pin RX ESP32.</v>
      </c>
    </row>
    <row r="9" spans="1:16" ht="25" x14ac:dyDescent="0.35">
      <c r="A9" s="36">
        <v>3</v>
      </c>
      <c r="B9" s="36">
        <v>4</v>
      </c>
      <c r="C9" s="37" t="str">
        <f>'Daftar Belanja'!C8</f>
        <v>Catu daya AC-DC 5 V</v>
      </c>
      <c r="D9" s="7" t="str">
        <f>'Daftar Belanja'!D8</f>
        <v>Hi-Link HLK-5M05</v>
      </c>
      <c r="E9" s="36">
        <f>'Daftar Belanja'!F8</f>
        <v>2</v>
      </c>
      <c r="F9" s="7" t="str">
        <f>'Daftar Belanja'!G8</f>
        <v>unit</v>
      </c>
      <c r="G9" s="10">
        <f>'Daftar Belanja'!H8</f>
        <v>39000</v>
      </c>
      <c r="H9" s="10">
        <f>'Daftar Belanja'!I8</f>
        <v>58000</v>
      </c>
      <c r="I9" s="10">
        <f>'Daftar Belanja'!J8</f>
        <v>78000</v>
      </c>
      <c r="J9" s="10">
        <f>'Daftar Belanja'!K8</f>
        <v>116000</v>
      </c>
      <c r="K9" s="12">
        <f>'Daftar Belanja'!N8</f>
        <v>58500</v>
      </c>
      <c r="L9" s="12" t="str">
        <f>'Daftar Belanja'!O8</f>
        <v>Diterima</v>
      </c>
      <c r="M9" s="13" t="s">
        <v>29</v>
      </c>
      <c r="N9" s="13" t="s">
        <v>30</v>
      </c>
      <c r="O9" s="7" t="s">
        <v>218</v>
      </c>
      <c r="P9" s="7" t="str">
        <f>IF('Daftar Belanja'!R8="","",'Daftar Belanja'!R8)</f>
        <v>Pilih 5M05 (5 W), bukan HLK-PM01 (3 W) — daya PM01 terlalu mepet untuk ESP32 + 3 relay.</v>
      </c>
    </row>
    <row r="10" spans="1:16" ht="26" x14ac:dyDescent="0.35">
      <c r="A10" s="36">
        <v>4</v>
      </c>
      <c r="B10" s="36">
        <v>5</v>
      </c>
      <c r="C10" s="37" t="str">
        <f>'Daftar Belanja'!C10</f>
        <v>Modul SSR 4 kanal (saklar step kapasitor)</v>
      </c>
      <c r="D10" s="7" t="str">
        <f>'Daftar Belanja'!D10</f>
        <v>Modul SSR 4CH Omron G3MB-202P 5V, high-level trigger</v>
      </c>
      <c r="E10" s="36">
        <f>'Daftar Belanja'!F10</f>
        <v>1</v>
      </c>
      <c r="F10" s="7" t="str">
        <f>'Daftar Belanja'!G10</f>
        <v>unit</v>
      </c>
      <c r="G10" s="10">
        <f>'Daftar Belanja'!H10</f>
        <v>80000</v>
      </c>
      <c r="H10" s="10">
        <f>'Daftar Belanja'!I10</f>
        <v>90000</v>
      </c>
      <c r="I10" s="10">
        <f>'Daftar Belanja'!J10</f>
        <v>80000</v>
      </c>
      <c r="J10" s="10">
        <f>'Daftar Belanja'!K10</f>
        <v>90000</v>
      </c>
      <c r="K10" s="12">
        <f>'Daftar Belanja'!N10</f>
        <v>60250</v>
      </c>
      <c r="L10" s="12" t="str">
        <f>'Daftar Belanja'!O10</f>
        <v>Diterima</v>
      </c>
      <c r="M10" s="13" t="s">
        <v>29</v>
      </c>
      <c r="N10" s="13" t="s">
        <v>30</v>
      </c>
      <c r="O10" s="7" t="s">
        <v>219</v>
      </c>
      <c r="P10" s="7" t="str">
        <f>IF('Daftar Belanja'!R10="","",'Daftar Belanja'!R10)</f>
        <v>Pilih 'HIGH level trigger' dan yang ada fuse per kanal. 3 kanal untuk 3 step, 1 kanal cadangan.</v>
      </c>
    </row>
    <row r="11" spans="1:16" ht="26" x14ac:dyDescent="0.35">
      <c r="A11" s="36">
        <v>5</v>
      </c>
      <c r="B11" s="36">
        <v>7</v>
      </c>
      <c r="C11" s="37" t="str">
        <f>'Daftar Belanja'!C12</f>
        <v>Modul relay 4 kanal (saklar beban demo)</v>
      </c>
      <c r="D11" s="7" t="str">
        <f>'Daftar Belanja'!D12</f>
        <v>Modul relay 4CH 5V optocoupler (relay Songle SRD-05VDC)</v>
      </c>
      <c r="E11" s="36">
        <f>'Daftar Belanja'!F12</f>
        <v>1</v>
      </c>
      <c r="F11" s="7" t="str">
        <f>'Daftar Belanja'!G12</f>
        <v>unit</v>
      </c>
      <c r="G11" s="10">
        <f>'Daftar Belanja'!H12</f>
        <v>25000</v>
      </c>
      <c r="H11" s="10">
        <f>'Daftar Belanja'!I12</f>
        <v>40000</v>
      </c>
      <c r="I11" s="10">
        <f>'Daftar Belanja'!J12</f>
        <v>25000</v>
      </c>
      <c r="J11" s="10">
        <f>'Daftar Belanja'!K12</f>
        <v>40000</v>
      </c>
      <c r="K11" s="12">
        <f>'Daftar Belanja'!N12</f>
        <v>35500</v>
      </c>
      <c r="L11" s="12" t="str">
        <f>'Daftar Belanja'!O12</f>
        <v>Diterima</v>
      </c>
      <c r="M11" s="13" t="s">
        <v>29</v>
      </c>
      <c r="N11" s="13" t="s">
        <v>30</v>
      </c>
      <c r="O11" s="7" t="s">
        <v>220</v>
      </c>
      <c r="P11" s="7" t="str">
        <f>IF('Daftar Belanja'!R12="","",'Daftar Belanja'!R12)</f>
        <v>Harus ada jumper JD-VCC (agar VCC opto bisa 3,3 V dan koil 5 V).</v>
      </c>
    </row>
    <row r="12" spans="1:16" ht="26" x14ac:dyDescent="0.35">
      <c r="A12" s="36">
        <v>6</v>
      </c>
      <c r="B12" s="36">
        <v>12</v>
      </c>
      <c r="C12" s="37" t="str">
        <f>'Daftar Belanja'!C17</f>
        <v>Kapasitor penyesuai (setelah uji meja)</v>
      </c>
      <c r="D12" s="7" t="str">
        <f>'Daftar Belanja'!D17</f>
        <v>CBB60 4 µF 450 VAC</v>
      </c>
      <c r="E12" s="36">
        <f>'Daftar Belanja'!F17</f>
        <v>3</v>
      </c>
      <c r="F12" s="7" t="str">
        <f>'Daftar Belanja'!G17</f>
        <v>pcs</v>
      </c>
      <c r="G12" s="10">
        <f>'Daftar Belanja'!H17</f>
        <v>10000</v>
      </c>
      <c r="H12" s="10">
        <f>'Daftar Belanja'!I17</f>
        <v>30000</v>
      </c>
      <c r="I12" s="10">
        <f>'Daftar Belanja'!J17</f>
        <v>30000</v>
      </c>
      <c r="J12" s="10">
        <f>'Daftar Belanja'!K17</f>
        <v>90000</v>
      </c>
      <c r="K12" s="12">
        <f>'Daftar Belanja'!N17</f>
        <v>0</v>
      </c>
      <c r="L12" s="12" t="str">
        <f>'Daftar Belanja'!O17</f>
        <v>Belum</v>
      </c>
      <c r="M12" s="13" t="s">
        <v>29</v>
      </c>
      <c r="N12" s="13" t="s">
        <v>30</v>
      </c>
      <c r="O12" s="11" t="s">
        <v>221</v>
      </c>
      <c r="P12" s="7" t="str">
        <f>IF('Daftar Belanja'!R17="","",'Daftar Belanja'!R17)</f>
        <v>Dipakai bila Q motor &lt; ±250 VAr (hasil uji meja langkah 2).</v>
      </c>
    </row>
    <row r="13" spans="1:16" ht="26" x14ac:dyDescent="0.35">
      <c r="A13" s="36">
        <v>7</v>
      </c>
      <c r="B13" s="36">
        <v>13</v>
      </c>
      <c r="C13" s="37" t="str">
        <f>'Daftar Belanja'!C18</f>
        <v>Kapasitor penyesuai (setelah uji meja)</v>
      </c>
      <c r="D13" s="7" t="str">
        <f>'Daftar Belanja'!D18</f>
        <v>CBB60 8 µF 450 VAC</v>
      </c>
      <c r="E13" s="36">
        <f>'Daftar Belanja'!F18</f>
        <v>3</v>
      </c>
      <c r="F13" s="7" t="str">
        <f>'Daftar Belanja'!G18</f>
        <v>pcs</v>
      </c>
      <c r="G13" s="10">
        <f>'Daftar Belanja'!H18</f>
        <v>10000</v>
      </c>
      <c r="H13" s="10">
        <f>'Daftar Belanja'!I18</f>
        <v>35000</v>
      </c>
      <c r="I13" s="10">
        <f>'Daftar Belanja'!J18</f>
        <v>30000</v>
      </c>
      <c r="J13" s="10">
        <f>'Daftar Belanja'!K18</f>
        <v>105000</v>
      </c>
      <c r="K13" s="12">
        <f>'Daftar Belanja'!N18</f>
        <v>0</v>
      </c>
      <c r="L13" s="12" t="str">
        <f>'Daftar Belanja'!O18</f>
        <v>Belum</v>
      </c>
      <c r="M13" s="13" t="s">
        <v>29</v>
      </c>
      <c r="N13" s="13" t="s">
        <v>30</v>
      </c>
      <c r="O13" s="11" t="s">
        <v>222</v>
      </c>
      <c r="P13" s="7" t="str">
        <f>IF('Daftar Belanja'!R18="","",'Daftar Belanja'!R18)</f>
        <v>Dipakai bila Q motor &gt; ±450 VAr.</v>
      </c>
    </row>
    <row r="14" spans="1:16" x14ac:dyDescent="0.35">
      <c r="A14" s="36">
        <v>8</v>
      </c>
      <c r="B14" s="36">
        <v>17</v>
      </c>
      <c r="C14" s="37" t="str">
        <f>'Daftar Belanja'!C22</f>
        <v>Sekring catu daya</v>
      </c>
      <c r="D14" s="7" t="str">
        <f>'Daftar Belanja'!D22</f>
        <v>Fuse kaca 5×20 mm 0,5 A 250V</v>
      </c>
      <c r="E14" s="36">
        <f>'Daftar Belanja'!F22</f>
        <v>5</v>
      </c>
      <c r="F14" s="7" t="str">
        <f>'Daftar Belanja'!G22</f>
        <v>pcs</v>
      </c>
      <c r="G14" s="10">
        <f>'Daftar Belanja'!H22</f>
        <v>1000</v>
      </c>
      <c r="H14" s="10">
        <f>'Daftar Belanja'!I22</f>
        <v>3000</v>
      </c>
      <c r="I14" s="10">
        <f>'Daftar Belanja'!J22</f>
        <v>5000</v>
      </c>
      <c r="J14" s="10">
        <f>'Daftar Belanja'!K22</f>
        <v>15000</v>
      </c>
      <c r="K14" s="12">
        <f>'Daftar Belanja'!N22</f>
        <v>0</v>
      </c>
      <c r="L14" s="12" t="str">
        <f>'Daftar Belanja'!O22</f>
        <v>Diterima</v>
      </c>
      <c r="M14" s="13" t="s">
        <v>29</v>
      </c>
      <c r="N14" s="13" t="s">
        <v>30</v>
      </c>
      <c r="O14" s="7" t="s">
        <v>223</v>
      </c>
      <c r="P14" s="7" t="str">
        <f>IF('Daftar Belanja'!R22="","",'Daftar Belanja'!R22)</f>
        <v/>
      </c>
    </row>
    <row r="15" spans="1:16" ht="25" x14ac:dyDescent="0.35">
      <c r="A15" s="36">
        <v>9</v>
      </c>
      <c r="B15" s="36">
        <v>21</v>
      </c>
      <c r="C15" s="37" t="str">
        <f>'Daftar Belanja'!C26</f>
        <v>Lampu halogen (beban resistif)</v>
      </c>
      <c r="D15" s="7" t="str">
        <f>'Daftar Belanja'!D26</f>
        <v>Philips Halogen Plusline S 300W R7s 118 mm 230V</v>
      </c>
      <c r="E15" s="36">
        <f>'Daftar Belanja'!F26</f>
        <v>1</v>
      </c>
      <c r="F15" s="7" t="str">
        <f>'Daftar Belanja'!G26</f>
        <v>pcs</v>
      </c>
      <c r="G15" s="10">
        <f>'Daftar Belanja'!H26</f>
        <v>35000</v>
      </c>
      <c r="H15" s="10">
        <f>'Daftar Belanja'!I26</f>
        <v>75000</v>
      </c>
      <c r="I15" s="10">
        <f>'Daftar Belanja'!J26</f>
        <v>35000</v>
      </c>
      <c r="J15" s="10">
        <f>'Daftar Belanja'!K26</f>
        <v>75000</v>
      </c>
      <c r="K15" s="12">
        <f>'Daftar Belanja'!N26</f>
        <v>0</v>
      </c>
      <c r="L15" s="12" t="str">
        <f>'Daftar Belanja'!O26</f>
        <v>Belum</v>
      </c>
      <c r="M15" s="13" t="s">
        <v>29</v>
      </c>
      <c r="N15" s="13" t="s">
        <v>30</v>
      </c>
      <c r="O15" s="7" t="s">
        <v>224</v>
      </c>
      <c r="P15" s="7" t="str">
        <f>IF('Daftar Belanja'!R26="","",'Daftar Belanja'!R26)</f>
        <v>Panjang 118 mm, harus cocok dengan rumah lampu.</v>
      </c>
    </row>
    <row r="16" spans="1:16" ht="25" x14ac:dyDescent="0.35">
      <c r="A16" s="36">
        <v>10</v>
      </c>
      <c r="B16" s="36">
        <v>22</v>
      </c>
      <c r="C16" s="37" t="str">
        <f>'Daftar Belanja'!C27</f>
        <v>Rumah lampu sorot halogen</v>
      </c>
      <c r="D16" s="7" t="str">
        <f>'Daftar Belanja'!D27</f>
        <v>Lampu sorot halogen R7s 118 mm (fixture 300–500 W)</v>
      </c>
      <c r="E16" s="36">
        <f>'Daftar Belanja'!F27</f>
        <v>1</v>
      </c>
      <c r="F16" s="7" t="str">
        <f>'Daftar Belanja'!G27</f>
        <v>unit</v>
      </c>
      <c r="G16" s="10">
        <f>'Daftar Belanja'!H27</f>
        <v>40000</v>
      </c>
      <c r="H16" s="10">
        <f>'Daftar Belanja'!I27</f>
        <v>100000</v>
      </c>
      <c r="I16" s="10">
        <f>'Daftar Belanja'!J27</f>
        <v>40000</v>
      </c>
      <c r="J16" s="10">
        <f>'Daftar Belanja'!K27</f>
        <v>100000</v>
      </c>
      <c r="K16" s="12">
        <f>'Daftar Belanja'!N27</f>
        <v>0</v>
      </c>
      <c r="L16" s="12" t="str">
        <f>'Daftar Belanja'!O27</f>
        <v>Belum</v>
      </c>
      <c r="M16" s="13" t="s">
        <v>29</v>
      </c>
      <c r="N16" s="13" t="s">
        <v>30</v>
      </c>
      <c r="O16" s="7" t="s">
        <v>225</v>
      </c>
      <c r="P16" s="7" t="str">
        <f>IF('Daftar Belanja'!R27="","",'Daftar Belanja'!R27)</f>
        <v>Lampu sangat panas — pasang di luar panel, beri jarak dari kabel.</v>
      </c>
    </row>
    <row r="17" spans="1:16" ht="26" x14ac:dyDescent="0.35">
      <c r="A17" s="36">
        <v>11</v>
      </c>
      <c r="B17" s="36">
        <v>23</v>
      </c>
      <c r="C17" s="37" t="str">
        <f>'Daftar Belanja'!C28</f>
        <v>Stopkontak beban elektronik AC–DC</v>
      </c>
      <c r="D17" s="7" t="str">
        <f>'Daftar Belanja'!D28</f>
        <v>Stopkontak tempel/panel 1 lubang ber-arde</v>
      </c>
      <c r="E17" s="36">
        <f>'Daftar Belanja'!F28</f>
        <v>1</v>
      </c>
      <c r="F17" s="7" t="str">
        <f>'Daftar Belanja'!G28</f>
        <v>pcs</v>
      </c>
      <c r="G17" s="10">
        <f>'Daftar Belanja'!H28</f>
        <v>15000</v>
      </c>
      <c r="H17" s="10">
        <f>'Daftar Belanja'!I28</f>
        <v>30000</v>
      </c>
      <c r="I17" s="10">
        <f>'Daftar Belanja'!J28</f>
        <v>0</v>
      </c>
      <c r="J17" s="10">
        <f>'Daftar Belanja'!K28</f>
        <v>0</v>
      </c>
      <c r="K17" s="12">
        <f>'Daftar Belanja'!N28</f>
        <v>0</v>
      </c>
      <c r="L17" s="12" t="str">
        <f>'Daftar Belanja'!O28</f>
        <v>Sudah punya</v>
      </c>
      <c r="M17" s="13" t="s">
        <v>29</v>
      </c>
      <c r="N17" s="13" t="s">
        <v>30</v>
      </c>
      <c r="O17" s="7" t="s">
        <v>226</v>
      </c>
      <c r="P17" s="7" t="str">
        <f>IF('Daftar Belanja'!R28="","",'Daftar Belanja'!R28)</f>
        <v>Untuk mencolok charger laptop (beban nonlinear) yang dikendalikan relay K3.</v>
      </c>
    </row>
    <row r="18" spans="1:16" ht="25" x14ac:dyDescent="0.35">
      <c r="A18" s="36">
        <v>12</v>
      </c>
      <c r="B18" s="36">
        <v>25</v>
      </c>
      <c r="C18" s="37" t="str">
        <f>'Daftar Belanja'!C30</f>
        <v>Tombol darurat</v>
      </c>
      <c r="D18" s="7" t="str">
        <f>'Daftar Belanja'!D30</f>
        <v>Emergency stop push button 22 mm, merah, twist-release, kontak 1NC</v>
      </c>
      <c r="E18" s="36">
        <f>'Daftar Belanja'!F30</f>
        <v>1</v>
      </c>
      <c r="F18" s="7" t="str">
        <f>'Daftar Belanja'!G30</f>
        <v>pcs</v>
      </c>
      <c r="G18" s="10">
        <f>'Daftar Belanja'!H30</f>
        <v>25000</v>
      </c>
      <c r="H18" s="10">
        <f>'Daftar Belanja'!I30</f>
        <v>60000</v>
      </c>
      <c r="I18" s="10">
        <f>'Daftar Belanja'!J30</f>
        <v>25000</v>
      </c>
      <c r="J18" s="10">
        <f>'Daftar Belanja'!K30</f>
        <v>60000</v>
      </c>
      <c r="K18" s="12">
        <f>'Daftar Belanja'!N30</f>
        <v>20000</v>
      </c>
      <c r="L18" s="12" t="str">
        <f>'Daftar Belanja'!O30</f>
        <v>Diterima</v>
      </c>
      <c r="M18" s="13" t="s">
        <v>29</v>
      </c>
      <c r="N18" s="13" t="s">
        <v>30</v>
      </c>
      <c r="O18" s="7" t="s">
        <v>227</v>
      </c>
      <c r="P18" s="7" t="str">
        <f>IF('Daftar Belanja'!R30="","",'Daftar Belanja'!R30)</f>
        <v>Dipasang seri di jalur L setelah RCBO; penting untuk keselamatan saat demo di depan juri.</v>
      </c>
    </row>
    <row r="19" spans="1:16" ht="25" x14ac:dyDescent="0.35">
      <c r="A19" s="36">
        <v>13</v>
      </c>
      <c r="B19" s="36">
        <v>32</v>
      </c>
      <c r="C19" s="37" t="str">
        <f>'Daftar Belanja'!C37</f>
        <v>Aksesoris pengawatan</v>
      </c>
      <c r="D19" s="7" t="str">
        <f>'Daftar Belanja'!D37</f>
        <v>Skun/ferrule pin + heat shrink + cable tie + duct kabel</v>
      </c>
      <c r="E19" s="36">
        <f>'Daftar Belanja'!F37</f>
        <v>1</v>
      </c>
      <c r="F19" s="7" t="str">
        <f>'Daftar Belanja'!G37</f>
        <v>paket</v>
      </c>
      <c r="G19" s="10">
        <f>'Daftar Belanja'!H37</f>
        <v>50000</v>
      </c>
      <c r="H19" s="10">
        <f>'Daftar Belanja'!I37</f>
        <v>100000</v>
      </c>
      <c r="I19" s="10">
        <f>'Daftar Belanja'!J37</f>
        <v>50000</v>
      </c>
      <c r="J19" s="10">
        <f>'Daftar Belanja'!K37</f>
        <v>100000</v>
      </c>
      <c r="K19" s="12">
        <f>'Daftar Belanja'!N37</f>
        <v>0</v>
      </c>
      <c r="L19" s="12" t="str">
        <f>'Daftar Belanja'!O37</f>
        <v>Belum</v>
      </c>
      <c r="M19" s="13" t="s">
        <v>29</v>
      </c>
      <c r="N19" s="13" t="s">
        <v>30</v>
      </c>
      <c r="O19" s="7" t="s">
        <v>228</v>
      </c>
      <c r="P19" s="7" t="str">
        <f>IF('Daftar Belanja'!R37="","",'Daftar Belanja'!R37)</f>
        <v/>
      </c>
    </row>
    <row r="20" spans="1:16" ht="25" x14ac:dyDescent="0.35">
      <c r="A20" s="36">
        <v>14</v>
      </c>
      <c r="B20" s="36">
        <v>33</v>
      </c>
      <c r="C20" s="37" t="str">
        <f>'Daftar Belanja'!C38</f>
        <v>Aksesoris elektronik</v>
      </c>
      <c r="D20" s="7" t="str">
        <f>'Daftar Belanja'!D38</f>
        <v>Kabel jumper dupont, PCB lubang, spacer &amp; baut M3</v>
      </c>
      <c r="E20" s="36">
        <f>'Daftar Belanja'!F38</f>
        <v>1</v>
      </c>
      <c r="F20" s="7" t="str">
        <f>'Daftar Belanja'!G38</f>
        <v>paket</v>
      </c>
      <c r="G20" s="10">
        <f>'Daftar Belanja'!H38</f>
        <v>40000</v>
      </c>
      <c r="H20" s="10">
        <f>'Daftar Belanja'!I38</f>
        <v>70000</v>
      </c>
      <c r="I20" s="10">
        <f>'Daftar Belanja'!J38</f>
        <v>40000</v>
      </c>
      <c r="J20" s="10">
        <f>'Daftar Belanja'!K38</f>
        <v>70000</v>
      </c>
      <c r="K20" s="12">
        <f>'Daftar Belanja'!N38</f>
        <v>0</v>
      </c>
      <c r="L20" s="12" t="str">
        <f>'Daftar Belanja'!O38</f>
        <v>Belum</v>
      </c>
      <c r="M20" s="13" t="s">
        <v>29</v>
      </c>
      <c r="N20" s="13" t="s">
        <v>30</v>
      </c>
      <c r="O20" s="7" t="s">
        <v>229</v>
      </c>
      <c r="P20" s="7" t="str">
        <f>IF('Daftar Belanja'!R38="","",'Daftar Belanja'!R38)</f>
        <v/>
      </c>
    </row>
    <row r="21" spans="1:16" x14ac:dyDescent="0.35">
      <c r="A21" s="36">
        <v>15</v>
      </c>
      <c r="B21" s="36">
        <v>34</v>
      </c>
      <c r="C21" s="37" t="str">
        <f>'Daftar Belanja'!C39</f>
        <v>Kabel RS485</v>
      </c>
      <c r="D21" s="7" t="str">
        <f>'Daftar Belanja'!D39</f>
        <v>Kabel UTP Cat5e (pakai 1 pasang twisted), 2 m</v>
      </c>
      <c r="E21" s="36">
        <f>'Daftar Belanja'!F39</f>
        <v>1</v>
      </c>
      <c r="F21" s="7" t="str">
        <f>'Daftar Belanja'!G39</f>
        <v>pcs</v>
      </c>
      <c r="G21" s="10">
        <f>'Daftar Belanja'!H39</f>
        <v>10000</v>
      </c>
      <c r="H21" s="10">
        <f>'Daftar Belanja'!I39</f>
        <v>20000</v>
      </c>
      <c r="I21" s="10">
        <f>'Daftar Belanja'!J39</f>
        <v>0</v>
      </c>
      <c r="J21" s="10">
        <f>'Daftar Belanja'!K39</f>
        <v>0</v>
      </c>
      <c r="K21" s="12">
        <f>'Daftar Belanja'!N39</f>
        <v>0</v>
      </c>
      <c r="L21" s="12" t="str">
        <f>'Daftar Belanja'!O39</f>
        <v>Sudah punya</v>
      </c>
      <c r="M21" s="13" t="s">
        <v>29</v>
      </c>
      <c r="N21" s="13" t="s">
        <v>30</v>
      </c>
      <c r="O21" s="7" t="s">
        <v>230</v>
      </c>
      <c r="P21" s="7" t="str">
        <f>IF('Daftar Belanja'!R39="","",'Daftar Belanja'!R39)</f>
        <v xml:space="preserve">Ada di lemari CAT5E </v>
      </c>
    </row>
    <row r="22" spans="1:16" x14ac:dyDescent="0.35">
      <c r="C22" s="28" t="s">
        <v>231</v>
      </c>
      <c r="I22" s="29">
        <f>SUM(I7:I21)</f>
        <v>504000</v>
      </c>
      <c r="J22" s="29">
        <f>SUM(J7:J21)</f>
        <v>1047000</v>
      </c>
      <c r="K22" s="29">
        <f>SUM(K7:K21)</f>
        <v>310782</v>
      </c>
    </row>
    <row r="23" spans="1:16" x14ac:dyDescent="0.35">
      <c r="C23" s="34" t="s">
        <v>205</v>
      </c>
      <c r="I23" s="30" t="str">
        <f>COUNTIF(L7:L21,"Diterima")+COUNTIF(L7:L21,"Sudah punya")&amp;" dari "&amp;COUNTA(C7:C21)&amp;" item"</f>
        <v>9 dari 15 item</v>
      </c>
    </row>
    <row r="25" spans="1:16" x14ac:dyDescent="0.35">
      <c r="A25" s="42" t="s">
        <v>232</v>
      </c>
    </row>
    <row r="26" spans="1:16" x14ac:dyDescent="0.35">
      <c r="A26" s="39" t="s">
        <v>207</v>
      </c>
      <c r="C26" s="34" t="s">
        <v>233</v>
      </c>
    </row>
    <row r="27" spans="1:16" x14ac:dyDescent="0.35">
      <c r="A27" s="39" t="s">
        <v>207</v>
      </c>
      <c r="C27" s="34" t="s">
        <v>234</v>
      </c>
    </row>
    <row r="28" spans="1:16" x14ac:dyDescent="0.35">
      <c r="A28" s="39" t="s">
        <v>207</v>
      </c>
      <c r="C28" s="34" t="s">
        <v>235</v>
      </c>
    </row>
    <row r="29" spans="1:16" x14ac:dyDescent="0.35">
      <c r="A29" s="39" t="s">
        <v>207</v>
      </c>
      <c r="C29" s="34" t="s">
        <v>236</v>
      </c>
    </row>
    <row r="30" spans="1:16" x14ac:dyDescent="0.35">
      <c r="A30" s="39" t="s">
        <v>207</v>
      </c>
      <c r="C30" s="34" t="s">
        <v>237</v>
      </c>
    </row>
  </sheetData>
  <conditionalFormatting sqref="A7:P21">
    <cfRule type="expression" dxfId="3" priority="2">
      <formula>$L7="Diterima"</formula>
    </cfRule>
    <cfRule type="expression" dxfId="2" priority="3">
      <formula>$L7="Sudah punya"</formula>
    </cfRule>
  </conditionalFormatting>
  <hyperlinks>
    <hyperlink ref="M7" r:id="rId1" xr:uid="{00000000-0004-0000-0200-000000000000}"/>
    <hyperlink ref="N7" r:id="rId2" xr:uid="{00000000-0004-0000-0200-000001000000}"/>
    <hyperlink ref="M8" r:id="rId3" xr:uid="{00000000-0004-0000-0200-000002000000}"/>
    <hyperlink ref="N8" r:id="rId4" xr:uid="{00000000-0004-0000-0200-000003000000}"/>
    <hyperlink ref="M9" r:id="rId5" xr:uid="{00000000-0004-0000-0200-000004000000}"/>
    <hyperlink ref="N9" r:id="rId6" xr:uid="{00000000-0004-0000-0200-000005000000}"/>
    <hyperlink ref="M10" r:id="rId7" xr:uid="{00000000-0004-0000-0200-000006000000}"/>
    <hyperlink ref="N10" r:id="rId8" xr:uid="{00000000-0004-0000-0200-000007000000}"/>
    <hyperlink ref="M11" r:id="rId9" xr:uid="{00000000-0004-0000-0200-000008000000}"/>
    <hyperlink ref="N11" r:id="rId10" xr:uid="{00000000-0004-0000-0200-000009000000}"/>
    <hyperlink ref="M12" r:id="rId11" xr:uid="{00000000-0004-0000-0200-00000A000000}"/>
    <hyperlink ref="N12" r:id="rId12" xr:uid="{00000000-0004-0000-0200-00000B000000}"/>
    <hyperlink ref="M13" r:id="rId13" xr:uid="{00000000-0004-0000-0200-00000C000000}"/>
    <hyperlink ref="N13" r:id="rId14" xr:uid="{00000000-0004-0000-0200-00000D000000}"/>
    <hyperlink ref="M14" r:id="rId15" xr:uid="{00000000-0004-0000-0200-00000E000000}"/>
    <hyperlink ref="N14" r:id="rId16" xr:uid="{00000000-0004-0000-0200-00000F000000}"/>
    <hyperlink ref="M15" r:id="rId17" xr:uid="{00000000-0004-0000-0200-000010000000}"/>
    <hyperlink ref="N15" r:id="rId18" xr:uid="{00000000-0004-0000-0200-000011000000}"/>
    <hyperlink ref="M16" r:id="rId19" xr:uid="{00000000-0004-0000-0200-000012000000}"/>
    <hyperlink ref="N16" r:id="rId20" xr:uid="{00000000-0004-0000-0200-000013000000}"/>
    <hyperlink ref="M17" r:id="rId21" xr:uid="{00000000-0004-0000-0200-000014000000}"/>
    <hyperlink ref="N17" r:id="rId22" xr:uid="{00000000-0004-0000-0200-000015000000}"/>
    <hyperlink ref="M18" r:id="rId23" xr:uid="{00000000-0004-0000-0200-000016000000}"/>
    <hyperlink ref="N18" r:id="rId24" xr:uid="{00000000-0004-0000-0200-000017000000}"/>
    <hyperlink ref="M19" r:id="rId25" xr:uid="{00000000-0004-0000-0200-000018000000}"/>
    <hyperlink ref="N19" r:id="rId26" xr:uid="{00000000-0004-0000-0200-000019000000}"/>
    <hyperlink ref="M20" r:id="rId27" xr:uid="{00000000-0004-0000-0200-00001A000000}"/>
    <hyperlink ref="N20" r:id="rId28" xr:uid="{00000000-0004-0000-0200-00001B000000}"/>
    <hyperlink ref="M21" r:id="rId29" xr:uid="{00000000-0004-0000-0200-00001C000000}"/>
    <hyperlink ref="N21" r:id="rId30" xr:uid="{00000000-0004-0000-0200-00001D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  <pageSetUpPr fitToPage="1"/>
  </sheetPr>
  <dimension ref="A1:P21"/>
  <sheetViews>
    <sheetView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8" sqref="K18"/>
    </sheetView>
  </sheetViews>
  <sheetFormatPr defaultColWidth="8.6328125" defaultRowHeight="14.5" x14ac:dyDescent="0.35"/>
  <cols>
    <col min="1" max="1" width="5" customWidth="1"/>
    <col min="2" max="2" width="9" customWidth="1"/>
    <col min="3" max="3" width="28" customWidth="1"/>
    <col min="4" max="4" width="40" customWidth="1"/>
    <col min="5" max="5" width="6" customWidth="1"/>
    <col min="6" max="6" width="8" customWidth="1"/>
    <col min="7" max="8" width="14" customWidth="1"/>
    <col min="9" max="11" width="15" customWidth="1"/>
    <col min="12" max="12" width="13" customWidth="1"/>
    <col min="13" max="13" width="12" customWidth="1"/>
    <col min="14" max="14" width="11" customWidth="1"/>
    <col min="15" max="15" width="44" customWidth="1"/>
    <col min="16" max="16" width="50" customWidth="1"/>
  </cols>
  <sheetData>
    <row r="1" spans="1:16" ht="18" x14ac:dyDescent="0.4">
      <c r="A1" s="43" t="s">
        <v>238</v>
      </c>
    </row>
    <row r="2" spans="1:16" x14ac:dyDescent="0.35">
      <c r="A2" s="30" t="s">
        <v>183</v>
      </c>
      <c r="C2" s="34" t="s">
        <v>239</v>
      </c>
    </row>
    <row r="3" spans="1:16" x14ac:dyDescent="0.35">
      <c r="A3" s="30" t="s">
        <v>185</v>
      </c>
      <c r="C3" s="34" t="s">
        <v>240</v>
      </c>
    </row>
    <row r="4" spans="1:16" x14ac:dyDescent="0.35">
      <c r="A4" s="32" t="s">
        <v>187</v>
      </c>
    </row>
    <row r="6" spans="1:16" ht="31.5" customHeight="1" x14ac:dyDescent="0.35">
      <c r="A6" s="44" t="s">
        <v>3</v>
      </c>
      <c r="B6" s="44" t="s">
        <v>188</v>
      </c>
      <c r="C6" s="44" t="s">
        <v>5</v>
      </c>
      <c r="D6" s="44" t="s">
        <v>6</v>
      </c>
      <c r="E6" s="44" t="s">
        <v>8</v>
      </c>
      <c r="F6" s="44" t="s">
        <v>9</v>
      </c>
      <c r="G6" s="44" t="s">
        <v>10</v>
      </c>
      <c r="H6" s="44" t="s">
        <v>11</v>
      </c>
      <c r="I6" s="44" t="s">
        <v>12</v>
      </c>
      <c r="J6" s="44" t="s">
        <v>13</v>
      </c>
      <c r="K6" s="44" t="s">
        <v>294</v>
      </c>
      <c r="L6" s="44" t="s">
        <v>16</v>
      </c>
      <c r="M6" s="44" t="s">
        <v>17</v>
      </c>
      <c r="N6" s="44" t="s">
        <v>18</v>
      </c>
      <c r="O6" s="44" t="s">
        <v>189</v>
      </c>
      <c r="P6" s="44" t="s">
        <v>19</v>
      </c>
    </row>
    <row r="7" spans="1:16" ht="25" x14ac:dyDescent="0.35">
      <c r="A7" s="36">
        <v>1</v>
      </c>
      <c r="B7" s="36">
        <v>6</v>
      </c>
      <c r="C7" s="37" t="str">
        <f>'Daftar Belanja'!C11</f>
        <v>SSR satuan (cadangan)</v>
      </c>
      <c r="D7" s="7" t="str">
        <f>'Daftar Belanja'!D11</f>
        <v>Omron G3MB-202P (DC5V)</v>
      </c>
      <c r="E7" s="36">
        <f>'Daftar Belanja'!F11</f>
        <v>2</v>
      </c>
      <c r="F7" s="7" t="str">
        <f>'Daftar Belanja'!G11</f>
        <v>pcs</v>
      </c>
      <c r="G7" s="10">
        <f>'Daftar Belanja'!H11</f>
        <v>15000</v>
      </c>
      <c r="H7" s="10">
        <f>'Daftar Belanja'!I11</f>
        <v>20000</v>
      </c>
      <c r="I7" s="10">
        <f>'Daftar Belanja'!J11</f>
        <v>30000</v>
      </c>
      <c r="J7" s="10">
        <f>'Daftar Belanja'!K11</f>
        <v>40000</v>
      </c>
      <c r="K7" s="12">
        <f>'Daftar Belanja'!N11</f>
        <v>72000</v>
      </c>
      <c r="L7" s="12" t="str">
        <f>'Daftar Belanja'!O11</f>
        <v>Diterima</v>
      </c>
      <c r="M7" s="13" t="s">
        <v>29</v>
      </c>
      <c r="N7" s="13" t="s">
        <v>30</v>
      </c>
      <c r="O7" s="7" t="s">
        <v>241</v>
      </c>
      <c r="P7" s="7" t="str">
        <f>IF('Daftar Belanja'!R11="","",'Daftar Belanja'!R11)</f>
        <v>Pastikan kode -202P (zero-cross), BUKAN -202PL (tanpa zero-cross).</v>
      </c>
    </row>
    <row r="8" spans="1:16" ht="26" x14ac:dyDescent="0.35">
      <c r="A8" s="36">
        <v>2</v>
      </c>
      <c r="B8" s="36">
        <v>9</v>
      </c>
      <c r="C8" s="37" t="str">
        <f>'Daftar Belanja'!C14</f>
        <v>Modul microSD (log data cadangan)</v>
      </c>
      <c r="D8" s="7" t="str">
        <f>'Daftar Belanja'!D14</f>
        <v>Micro SD card module SPI (3,3 V / 5 V)</v>
      </c>
      <c r="E8" s="36">
        <f>'Daftar Belanja'!F14</f>
        <v>1</v>
      </c>
      <c r="F8" s="7" t="str">
        <f>'Daftar Belanja'!G14</f>
        <v>unit</v>
      </c>
      <c r="G8" s="10">
        <f>'Daftar Belanja'!H14</f>
        <v>10000</v>
      </c>
      <c r="H8" s="10">
        <f>'Daftar Belanja'!I14</f>
        <v>25000</v>
      </c>
      <c r="I8" s="10">
        <f>'Daftar Belanja'!J14</f>
        <v>10000</v>
      </c>
      <c r="J8" s="10">
        <f>'Daftar Belanja'!K14</f>
        <v>25000</v>
      </c>
      <c r="K8" s="12">
        <f>'Daftar Belanja'!N14</f>
        <v>7500</v>
      </c>
      <c r="L8" s="12" t="str">
        <f>'Daftar Belanja'!O14</f>
        <v>Diterima</v>
      </c>
      <c r="M8" s="13" t="s">
        <v>29</v>
      </c>
      <c r="N8" s="13" t="s">
        <v>30</v>
      </c>
      <c r="O8" s="7" t="s">
        <v>242</v>
      </c>
      <c r="P8" s="7" t="str">
        <f>IF('Daftar Belanja'!R14="","",'Daftar Belanja'!R14)</f>
        <v>Pin ESP32: SCK 18, MISO 19, MOSI 23, CS 5.</v>
      </c>
    </row>
    <row r="9" spans="1:16" x14ac:dyDescent="0.35">
      <c r="A9" s="36">
        <v>3</v>
      </c>
      <c r="B9" s="36">
        <v>10</v>
      </c>
      <c r="C9" s="37" t="str">
        <f>'Daftar Belanja'!C15</f>
        <v>Kartu microSD</v>
      </c>
      <c r="D9" s="7" t="str">
        <f>'Daftar Belanja'!D15</f>
        <v>microSD 8–16 GB Class 10 (SanDisk/V-Gen)</v>
      </c>
      <c r="E9" s="36">
        <f>'Daftar Belanja'!F15</f>
        <v>1</v>
      </c>
      <c r="F9" s="7" t="str">
        <f>'Daftar Belanja'!G15</f>
        <v>pcs</v>
      </c>
      <c r="G9" s="10">
        <f>'Daftar Belanja'!H15</f>
        <v>40000</v>
      </c>
      <c r="H9" s="10">
        <f>'Daftar Belanja'!I15</f>
        <v>70000</v>
      </c>
      <c r="I9" s="10">
        <f>'Daftar Belanja'!J15</f>
        <v>0</v>
      </c>
      <c r="J9" s="10">
        <f>'Daftar Belanja'!K15</f>
        <v>0</v>
      </c>
      <c r="K9" s="12">
        <f>'Daftar Belanja'!N15</f>
        <v>0</v>
      </c>
      <c r="L9" s="12" t="str">
        <f>'Daftar Belanja'!O15</f>
        <v>Sudah punya</v>
      </c>
      <c r="M9" s="13" t="s">
        <v>29</v>
      </c>
      <c r="N9" s="13" t="s">
        <v>30</v>
      </c>
      <c r="O9" s="7" t="s">
        <v>243</v>
      </c>
      <c r="P9" s="7" t="str">
        <f>IF('Daftar Belanja'!R15="","",'Daftar Belanja'!R15)</f>
        <v>Format FAT32 sebelum dipakai.</v>
      </c>
    </row>
    <row r="10" spans="1:16" ht="26" x14ac:dyDescent="0.35">
      <c r="A10" s="36">
        <v>4</v>
      </c>
      <c r="B10" s="36">
        <v>19</v>
      </c>
      <c r="C10" s="37" t="str">
        <f>'Daftar Belanja'!C24</f>
        <v>Ballast magnetik (beban induktif tambahan)</v>
      </c>
      <c r="D10" s="7" t="str">
        <f>'Daftar Belanja'!D24</f>
        <v>Philips BTA 36W 220V (ballast trafo TL magnetik)</v>
      </c>
      <c r="E10" s="36">
        <f>'Daftar Belanja'!F24</f>
        <v>1</v>
      </c>
      <c r="F10" s="7" t="str">
        <f>'Daftar Belanja'!G24</f>
        <v>pcs</v>
      </c>
      <c r="G10" s="10">
        <f>'Daftar Belanja'!H24</f>
        <v>90000</v>
      </c>
      <c r="H10" s="10">
        <f>'Daftar Belanja'!I24</f>
        <v>110000</v>
      </c>
      <c r="I10" s="10">
        <f>'Daftar Belanja'!J24</f>
        <v>90000</v>
      </c>
      <c r="J10" s="10">
        <f>'Daftar Belanja'!K24</f>
        <v>110000</v>
      </c>
      <c r="K10" s="12">
        <f>'Daftar Belanja'!N24</f>
        <v>0</v>
      </c>
      <c r="L10" s="12" t="str">
        <f>'Daftar Belanja'!O24</f>
        <v>Belum</v>
      </c>
      <c r="M10" s="13" t="s">
        <v>29</v>
      </c>
      <c r="N10" s="13" t="s">
        <v>30</v>
      </c>
      <c r="O10" s="7" t="s">
        <v>244</v>
      </c>
      <c r="P10" s="7" t="str">
        <f>IF('Daftar Belanja'!R24="","",'Daftar Belanja'!R24)</f>
        <v>Ballast MAGNETIK (trafo), bukan ballast elektronik. Wajib dipakai bersama lampu TL + starter.</v>
      </c>
    </row>
    <row r="11" spans="1:16" ht="25" x14ac:dyDescent="0.35">
      <c r="A11" s="36">
        <v>5</v>
      </c>
      <c r="B11" s="36">
        <v>20</v>
      </c>
      <c r="C11" s="37" t="str">
        <f>'Daftar Belanja'!C25</f>
        <v>Lampu TL set untuk ballast</v>
      </c>
      <c r="D11" s="7" t="str">
        <f>'Daftar Belanja'!D25</f>
        <v>Tabung TL-D 36W + starter S10 + kap/fitting TL 1×36W</v>
      </c>
      <c r="E11" s="36">
        <f>'Daftar Belanja'!F25</f>
        <v>1</v>
      </c>
      <c r="F11" s="7" t="str">
        <f>'Daftar Belanja'!G25</f>
        <v>set</v>
      </c>
      <c r="G11" s="10">
        <f>'Daftar Belanja'!H25</f>
        <v>50000</v>
      </c>
      <c r="H11" s="10">
        <f>'Daftar Belanja'!I25</f>
        <v>100000</v>
      </c>
      <c r="I11" s="10">
        <f>'Daftar Belanja'!J25</f>
        <v>50000</v>
      </c>
      <c r="J11" s="10">
        <f>'Daftar Belanja'!K25</f>
        <v>100000</v>
      </c>
      <c r="K11" s="12">
        <f>'Daftar Belanja'!N25</f>
        <v>140000</v>
      </c>
      <c r="L11" s="12" t="str">
        <f>'Daftar Belanja'!O25</f>
        <v>Diterima</v>
      </c>
      <c r="M11" s="13" t="s">
        <v>29</v>
      </c>
      <c r="N11" s="13" t="s">
        <v>30</v>
      </c>
      <c r="O11" s="7" t="s">
        <v>245</v>
      </c>
      <c r="P11" s="7" t="str">
        <f>IF('Daftar Belanja'!R25="","",'Daftar Belanja'!R25)</f>
        <v>Bila kap bawaan punya kapasitor kompensasi, lepas kapasitornya agar beban tetap induktif.</v>
      </c>
    </row>
    <row r="12" spans="1:16" ht="25" x14ac:dyDescent="0.35">
      <c r="A12" s="36">
        <v>6</v>
      </c>
      <c r="B12" s="36">
        <v>26</v>
      </c>
      <c r="C12" s="37" t="str">
        <f>'Daftar Belanja'!C31</f>
        <v>Lampu indikator step &amp; power</v>
      </c>
      <c r="D12" s="7" t="str">
        <f>'Daftar Belanja'!D31</f>
        <v>Pilot lamp LED AD16-22DS 220 VAC 22 mm (3 hijau + 1 merah)</v>
      </c>
      <c r="E12" s="36">
        <f>'Daftar Belanja'!F31</f>
        <v>4</v>
      </c>
      <c r="F12" s="7" t="str">
        <f>'Daftar Belanja'!G31</f>
        <v>pcs</v>
      </c>
      <c r="G12" s="10">
        <f>'Daftar Belanja'!H31</f>
        <v>8000</v>
      </c>
      <c r="H12" s="10">
        <f>'Daftar Belanja'!I31</f>
        <v>15000</v>
      </c>
      <c r="I12" s="10">
        <f>'Daftar Belanja'!J31</f>
        <v>32000</v>
      </c>
      <c r="J12" s="10">
        <f>'Daftar Belanja'!K31</f>
        <v>60000</v>
      </c>
      <c r="K12" s="12">
        <f>'Daftar Belanja'!N31</f>
        <v>21000</v>
      </c>
      <c r="L12" s="12" t="str">
        <f>'Daftar Belanja'!O31</f>
        <v>Diterima</v>
      </c>
      <c r="M12" s="13" t="s">
        <v>29</v>
      </c>
      <c r="N12" s="13" t="s">
        <v>30</v>
      </c>
      <c r="O12" s="7" t="s">
        <v>246</v>
      </c>
      <c r="P12" s="7" t="str">
        <f>IF('Daftar Belanja'!R31="","",'Daftar Belanja'!R31)</f>
        <v>Hijau dipasang paralel setelah tiap SSR — juri melihat step mana yang aktif.</v>
      </c>
    </row>
    <row r="13" spans="1:16" ht="26" x14ac:dyDescent="0.35">
      <c r="A13" s="36">
        <v>7</v>
      </c>
      <c r="B13" s="36">
        <v>35</v>
      </c>
      <c r="C13" s="37" t="str">
        <f>'Daftar Belanja'!C40</f>
        <v>Tang ampere (bukti fisik di demo)</v>
      </c>
      <c r="D13" s="7" t="str">
        <f>'Daftar Belanja'!D40</f>
        <v>UNI-T UT204+ True RMS AC/DC clamp meter</v>
      </c>
      <c r="E13" s="36">
        <f>'Daftar Belanja'!F40</f>
        <v>1</v>
      </c>
      <c r="F13" s="7" t="str">
        <f>'Daftar Belanja'!G40</f>
        <v>unit</v>
      </c>
      <c r="G13" s="10">
        <f>'Daftar Belanja'!H40</f>
        <v>450000</v>
      </c>
      <c r="H13" s="10">
        <f>'Daftar Belanja'!I40</f>
        <v>700000</v>
      </c>
      <c r="I13" s="10">
        <f>'Daftar Belanja'!J40</f>
        <v>450000</v>
      </c>
      <c r="J13" s="10">
        <f>'Daftar Belanja'!K40</f>
        <v>700000</v>
      </c>
      <c r="K13" s="12">
        <f>'Daftar Belanja'!N40</f>
        <v>0</v>
      </c>
      <c r="L13" s="12" t="str">
        <f>'Daftar Belanja'!O40</f>
        <v>Belum</v>
      </c>
      <c r="M13" s="13" t="s">
        <v>29</v>
      </c>
      <c r="N13" s="13" t="s">
        <v>30</v>
      </c>
      <c r="O13" s="7" t="s">
        <v>247</v>
      </c>
      <c r="P13" s="7" t="str">
        <f>IF('Daftar Belanja'!R40="","",'Daftar Belanja'!R40)</f>
        <v>Dijepit di kabel L sebelum kapasitor: juri melihat arus turun saat step masuk. Lewati bila sudah punya.</v>
      </c>
    </row>
    <row r="14" spans="1:16" x14ac:dyDescent="0.35">
      <c r="C14" s="28" t="s">
        <v>248</v>
      </c>
      <c r="I14" s="29">
        <f>SUM(I7:I13)</f>
        <v>662000</v>
      </c>
      <c r="J14" s="29">
        <f>SUM(J7:J13)</f>
        <v>1035000</v>
      </c>
      <c r="K14" s="29">
        <f>SUM(K7:K13)</f>
        <v>240500</v>
      </c>
    </row>
    <row r="15" spans="1:16" x14ac:dyDescent="0.35">
      <c r="C15" s="34" t="s">
        <v>205</v>
      </c>
      <c r="I15" s="30" t="str">
        <f>COUNTIF(L7:L13,"Diterima")+COUNTIF(L7:L13,"Sudah punya")&amp;" dari "&amp;COUNTA(C7:C13)&amp;" item"</f>
        <v>5 dari 7 item</v>
      </c>
    </row>
    <row r="17" spans="1:3" x14ac:dyDescent="0.35">
      <c r="A17" s="45" t="s">
        <v>249</v>
      </c>
    </row>
    <row r="18" spans="1:3" x14ac:dyDescent="0.35">
      <c r="A18" s="39" t="s">
        <v>207</v>
      </c>
      <c r="C18" s="34" t="s">
        <v>250</v>
      </c>
    </row>
    <row r="19" spans="1:3" x14ac:dyDescent="0.35">
      <c r="A19" s="39" t="s">
        <v>207</v>
      </c>
      <c r="C19" s="34" t="s">
        <v>251</v>
      </c>
    </row>
    <row r="20" spans="1:3" x14ac:dyDescent="0.35">
      <c r="A20" s="39" t="s">
        <v>207</v>
      </c>
      <c r="C20" s="34" t="s">
        <v>252</v>
      </c>
    </row>
    <row r="21" spans="1:3" x14ac:dyDescent="0.35">
      <c r="A21" s="39" t="s">
        <v>207</v>
      </c>
      <c r="C21" s="34" t="s">
        <v>253</v>
      </c>
    </row>
  </sheetData>
  <conditionalFormatting sqref="A7:P13">
    <cfRule type="expression" dxfId="1" priority="2">
      <formula>$L7="Diterima"</formula>
    </cfRule>
    <cfRule type="expression" dxfId="0" priority="3">
      <formula>$L7="Sudah punya"</formula>
    </cfRule>
  </conditionalFormatting>
  <hyperlinks>
    <hyperlink ref="M7" r:id="rId1" xr:uid="{00000000-0004-0000-0300-000000000000}"/>
    <hyperlink ref="N7" r:id="rId2" xr:uid="{00000000-0004-0000-0300-000001000000}"/>
    <hyperlink ref="M8" r:id="rId3" xr:uid="{00000000-0004-0000-0300-000002000000}"/>
    <hyperlink ref="N8" r:id="rId4" xr:uid="{00000000-0004-0000-0300-000003000000}"/>
    <hyperlink ref="M9" r:id="rId5" xr:uid="{00000000-0004-0000-0300-000004000000}"/>
    <hyperlink ref="N9" r:id="rId6" xr:uid="{00000000-0004-0000-0300-000005000000}"/>
    <hyperlink ref="M10" r:id="rId7" xr:uid="{00000000-0004-0000-0300-000006000000}"/>
    <hyperlink ref="N10" r:id="rId8" xr:uid="{00000000-0004-0000-0300-000007000000}"/>
    <hyperlink ref="M11" r:id="rId9" xr:uid="{00000000-0004-0000-0300-000008000000}"/>
    <hyperlink ref="N11" r:id="rId10" xr:uid="{00000000-0004-0000-0300-000009000000}"/>
    <hyperlink ref="M12" r:id="rId11" xr:uid="{00000000-0004-0000-0300-00000A000000}"/>
    <hyperlink ref="N12" r:id="rId12" xr:uid="{00000000-0004-0000-0300-00000B000000}"/>
    <hyperlink ref="M13" r:id="rId13" xr:uid="{00000000-0004-0000-0300-00000C000000}"/>
    <hyperlink ref="N13" r:id="rId14" xr:uid="{00000000-0004-0000-0300-00000D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zoomScaleNormal="100" workbookViewId="0"/>
  </sheetViews>
  <sheetFormatPr defaultColWidth="8.6328125" defaultRowHeight="14.5" x14ac:dyDescent="0.35"/>
  <cols>
    <col min="1" max="1" width="34" customWidth="1"/>
    <col min="2" max="2" width="13" customWidth="1"/>
    <col min="3" max="4" width="17" customWidth="1"/>
    <col min="5" max="5" width="58" customWidth="1"/>
    <col min="6" max="6" width="4" customWidth="1"/>
  </cols>
  <sheetData>
    <row r="1" spans="1:5" ht="17.25" customHeight="1" x14ac:dyDescent="0.4">
      <c r="A1" s="1" t="s">
        <v>254</v>
      </c>
    </row>
    <row r="2" spans="1:5" ht="15" customHeight="1" x14ac:dyDescent="0.35">
      <c r="A2" s="32" t="s">
        <v>255</v>
      </c>
    </row>
    <row r="4" spans="1:5" ht="15" customHeight="1" x14ac:dyDescent="0.35">
      <c r="A4" s="46" t="s">
        <v>4</v>
      </c>
      <c r="B4" s="46" t="s">
        <v>256</v>
      </c>
      <c r="C4" s="46" t="s">
        <v>257</v>
      </c>
      <c r="D4" s="46" t="s">
        <v>258</v>
      </c>
    </row>
    <row r="5" spans="1:5" ht="15" customHeight="1" x14ac:dyDescent="0.35">
      <c r="A5" s="34" t="s">
        <v>21</v>
      </c>
      <c r="B5" s="34">
        <f>COUNTIF('Daftar Belanja'!$B$5:$B$41,A5)</f>
        <v>11</v>
      </c>
      <c r="C5" s="47">
        <f>SUMIF('Daftar Belanja'!$B$5:$B$41,A5,'Daftar Belanja'!$J$5:$J$41)</f>
        <v>1024000</v>
      </c>
      <c r="D5" s="47">
        <f>SUMIF('Daftar Belanja'!$B$5:$B$41,A5,'Daftar Belanja'!$K$5:$K$41)</f>
        <v>1327000</v>
      </c>
    </row>
    <row r="6" spans="1:5" ht="15" customHeight="1" x14ac:dyDescent="0.35">
      <c r="A6" s="34" t="s">
        <v>73</v>
      </c>
      <c r="B6" s="34">
        <f>COUNTIF('Daftar Belanja'!$B$5:$B$41,A6)</f>
        <v>7</v>
      </c>
      <c r="C6" s="47">
        <f>SUMIF('Daftar Belanja'!$B$5:$B$41,A6,'Daftar Belanja'!$J$5:$J$41)</f>
        <v>140000</v>
      </c>
      <c r="D6" s="47">
        <f>SUMIF('Daftar Belanja'!$B$5:$B$41,A6,'Daftar Belanja'!$K$5:$K$41)</f>
        <v>455000</v>
      </c>
    </row>
    <row r="7" spans="1:5" ht="15" customHeight="1" x14ac:dyDescent="0.35">
      <c r="A7" s="34" t="s">
        <v>101</v>
      </c>
      <c r="B7" s="34">
        <f>COUNTIF('Daftar Belanja'!$B$5:$B$41,A7)</f>
        <v>6</v>
      </c>
      <c r="C7" s="47">
        <f>SUMIF('Daftar Belanja'!$B$5:$B$41,A7,'Daftar Belanja'!$J$5:$J$41)</f>
        <v>1105000</v>
      </c>
      <c r="D7" s="47">
        <f>SUMIF('Daftar Belanja'!$B$5:$B$41,A7,'Daftar Belanja'!$K$5:$K$41)</f>
        <v>1495000</v>
      </c>
    </row>
    <row r="8" spans="1:5" ht="15" customHeight="1" x14ac:dyDescent="0.35">
      <c r="A8" s="34" t="s">
        <v>127</v>
      </c>
      <c r="B8" s="34">
        <f>COUNTIF('Daftar Belanja'!$B$5:$B$41,A8)</f>
        <v>11</v>
      </c>
      <c r="C8" s="47">
        <f>SUMIF('Daftar Belanja'!$B$5:$B$41,A8,'Daftar Belanja'!$J$5:$J$41)</f>
        <v>658000</v>
      </c>
      <c r="D8" s="47">
        <f>SUMIF('Daftar Belanja'!$B$5:$B$41,A8,'Daftar Belanja'!$K$5:$K$41)</f>
        <v>1300000</v>
      </c>
    </row>
    <row r="9" spans="1:5" ht="15" customHeight="1" x14ac:dyDescent="0.35">
      <c r="A9" s="34" t="s">
        <v>170</v>
      </c>
      <c r="B9" s="34">
        <f>COUNTIF('Daftar Belanja'!$B$5:$B$41,A9)</f>
        <v>2</v>
      </c>
      <c r="C9" s="47">
        <f>SUMIF('Daftar Belanja'!$B$5:$B$41,A9,'Daftar Belanja'!$J$5:$J$41)</f>
        <v>450000</v>
      </c>
      <c r="D9" s="47">
        <f>SUMIF('Daftar Belanja'!$B$5:$B$41,A9,'Daftar Belanja'!$K$5:$K$41)</f>
        <v>700000</v>
      </c>
    </row>
    <row r="10" spans="1:5" ht="15" customHeight="1" x14ac:dyDescent="0.35">
      <c r="A10" s="48" t="s">
        <v>259</v>
      </c>
      <c r="B10" s="48">
        <f>SUM(B5:B9)</f>
        <v>37</v>
      </c>
      <c r="C10" s="49">
        <f>SUM(C5:C9)</f>
        <v>3377000</v>
      </c>
      <c r="D10" s="49">
        <f>SUM(D5:D9)</f>
        <v>5277000</v>
      </c>
    </row>
    <row r="11" spans="1:5" ht="15" customHeight="1" x14ac:dyDescent="0.35">
      <c r="A11" s="34"/>
      <c r="B11" s="34"/>
      <c r="C11" s="47"/>
      <c r="D11" s="47"/>
    </row>
    <row r="12" spans="1:5" ht="15" customHeight="1" x14ac:dyDescent="0.35">
      <c r="A12" s="46" t="s">
        <v>14</v>
      </c>
      <c r="B12" s="46" t="s">
        <v>256</v>
      </c>
      <c r="C12" s="50" t="s">
        <v>257</v>
      </c>
      <c r="D12" s="50" t="s">
        <v>258</v>
      </c>
    </row>
    <row r="13" spans="1:5" ht="15" customHeight="1" x14ac:dyDescent="0.35">
      <c r="A13" s="34" t="s">
        <v>260</v>
      </c>
      <c r="B13" s="34">
        <f>COUNTIF('Daftar Belanja'!$L$5:$L$41,E13)</f>
        <v>25</v>
      </c>
      <c r="C13" s="47">
        <f>SUMIF('Daftar Belanja'!$L$5:$L$41,E13,'Daftar Belanja'!$J$5:$J$41)</f>
        <v>2640000</v>
      </c>
      <c r="D13" s="47">
        <f>SUMIF('Daftar Belanja'!$L$5:$L$41,E13,'Daftar Belanja'!$K$5:$K$41)</f>
        <v>4017000</v>
      </c>
      <c r="E13" s="51" t="s">
        <v>261</v>
      </c>
    </row>
    <row r="14" spans="1:5" ht="15" customHeight="1" x14ac:dyDescent="0.35">
      <c r="A14" s="34" t="s">
        <v>62</v>
      </c>
      <c r="B14" s="34">
        <f>COUNTIF('Daftar Belanja'!$L$5:$L$41,E14)</f>
        <v>7</v>
      </c>
      <c r="C14" s="47">
        <f>SUMIF('Daftar Belanja'!$L$5:$L$41,E14,'Daftar Belanja'!$J$5:$J$41)</f>
        <v>647000</v>
      </c>
      <c r="D14" s="47">
        <f>SUMIF('Daftar Belanja'!$L$5:$L$41,E14,'Daftar Belanja'!$K$5:$K$41)</f>
        <v>1025000</v>
      </c>
      <c r="E14" s="51" t="s">
        <v>62</v>
      </c>
    </row>
    <row r="15" spans="1:5" ht="15" customHeight="1" x14ac:dyDescent="0.35">
      <c r="A15" s="34" t="s">
        <v>53</v>
      </c>
      <c r="B15" s="34">
        <f>COUNTIF('Daftar Belanja'!$L$5:$L$41,E15)</f>
        <v>1</v>
      </c>
      <c r="C15" s="47">
        <f>SUMIF('Daftar Belanja'!$L$5:$L$41,E15,'Daftar Belanja'!$J$5:$J$41)</f>
        <v>30000</v>
      </c>
      <c r="D15" s="47">
        <f>SUMIF('Daftar Belanja'!$L$5:$L$41,E15,'Daftar Belanja'!$K$5:$K$41)</f>
        <v>40000</v>
      </c>
      <c r="E15" s="51" t="s">
        <v>53</v>
      </c>
    </row>
    <row r="16" spans="1:5" ht="15" customHeight="1" x14ac:dyDescent="0.35">
      <c r="A16" s="34" t="s">
        <v>81</v>
      </c>
      <c r="B16" s="34">
        <f>COUNTIF('Daftar Belanja'!$L$5:$L$41,E16)</f>
        <v>3</v>
      </c>
      <c r="C16" s="47">
        <f>SUMIF('Daftar Belanja'!$L$5:$L$41,E16,'Daftar Belanja'!$J$5:$J$41)</f>
        <v>60000</v>
      </c>
      <c r="D16" s="47">
        <f>SUMIF('Daftar Belanja'!$L$5:$L$41,E16,'Daftar Belanja'!$K$5:$K$41)</f>
        <v>195000</v>
      </c>
      <c r="E16" s="51" t="s">
        <v>81</v>
      </c>
    </row>
    <row r="17" spans="1:6" ht="15" customHeight="1" x14ac:dyDescent="0.35">
      <c r="A17" s="34"/>
      <c r="B17" s="34"/>
      <c r="C17" s="47"/>
      <c r="D17" s="47"/>
    </row>
    <row r="18" spans="1:6" ht="15" customHeight="1" x14ac:dyDescent="0.35">
      <c r="A18" s="30" t="s">
        <v>262</v>
      </c>
      <c r="B18" s="34"/>
      <c r="C18" s="47"/>
      <c r="D18" s="47"/>
    </row>
    <row r="19" spans="1:6" ht="15" customHeight="1" x14ac:dyDescent="0.35">
      <c r="A19" s="34" t="s">
        <v>28</v>
      </c>
      <c r="B19" s="34">
        <f>COUNTIF('Daftar Belanja'!$O$5:$O$41,A19)</f>
        <v>11</v>
      </c>
      <c r="C19" s="47"/>
      <c r="D19" s="47"/>
    </row>
    <row r="20" spans="1:6" ht="15" customHeight="1" x14ac:dyDescent="0.35">
      <c r="A20" s="34" t="s">
        <v>263</v>
      </c>
      <c r="B20" s="34">
        <f>COUNTIF('Daftar Belanja'!$O$5:$O$41,A20)</f>
        <v>0</v>
      </c>
      <c r="C20" s="47"/>
      <c r="D20" s="47"/>
    </row>
    <row r="21" spans="1:6" ht="15" customHeight="1" x14ac:dyDescent="0.35">
      <c r="A21" s="34" t="s">
        <v>264</v>
      </c>
      <c r="B21" s="34">
        <f>COUNTIF('Daftar Belanja'!$O$5:$O$41,A21)</f>
        <v>21</v>
      </c>
      <c r="C21" s="47"/>
      <c r="D21" s="47"/>
    </row>
    <row r="22" spans="1:6" ht="15" customHeight="1" x14ac:dyDescent="0.35">
      <c r="A22" s="34" t="s">
        <v>265</v>
      </c>
      <c r="B22" s="34">
        <f>COUNTIF('Daftar Belanja'!$O$5:$O$41,A22)</f>
        <v>5</v>
      </c>
      <c r="C22" s="47"/>
      <c r="D22" s="47"/>
    </row>
    <row r="26" spans="1:6" ht="15.5" x14ac:dyDescent="0.35">
      <c r="A26" s="52" t="s">
        <v>266</v>
      </c>
    </row>
    <row r="27" spans="1:6" x14ac:dyDescent="0.35">
      <c r="A27" s="46" t="s">
        <v>267</v>
      </c>
      <c r="B27" s="46" t="s">
        <v>256</v>
      </c>
      <c r="C27" s="46" t="s">
        <v>257</v>
      </c>
      <c r="D27" s="46" t="s">
        <v>258</v>
      </c>
      <c r="E27" s="46" t="s">
        <v>268</v>
      </c>
    </row>
    <row r="28" spans="1:6" x14ac:dyDescent="0.35">
      <c r="A28" s="53" t="s">
        <v>269</v>
      </c>
      <c r="B28" s="53">
        <f>COUNTIF('Daftar Belanja'!$S$5:$S$41,F28)</f>
        <v>14</v>
      </c>
      <c r="C28" s="54">
        <f>SUMIF('Daftar Belanja'!$S$5:$S$41,F28,'Daftar Belanja'!$J$5:$J$41)</f>
        <v>2211000</v>
      </c>
      <c r="D28" s="54">
        <f>SUMIF('Daftar Belanja'!$S$5:$S$41,F28,'Daftar Belanja'!$K$5:$K$41)</f>
        <v>3195000</v>
      </c>
      <c r="E28" s="53" t="s">
        <v>184</v>
      </c>
      <c r="F28" s="51">
        <v>1</v>
      </c>
    </row>
    <row r="29" spans="1:6" x14ac:dyDescent="0.35">
      <c r="A29" s="53" t="s">
        <v>270</v>
      </c>
      <c r="B29" s="53">
        <f>COUNTIF('Daftar Belanja'!$S$5:$S$41,F29)</f>
        <v>15</v>
      </c>
      <c r="C29" s="54">
        <f>SUMIF('Daftar Belanja'!$S$5:$S$41,F29,'Daftar Belanja'!$J$5:$J$41)</f>
        <v>504000</v>
      </c>
      <c r="D29" s="54">
        <f>SUMIF('Daftar Belanja'!$S$5:$S$41,F29,'Daftar Belanja'!$K$5:$K$41)</f>
        <v>1047000</v>
      </c>
      <c r="E29" s="53" t="s">
        <v>214</v>
      </c>
      <c r="F29" s="51">
        <v>2</v>
      </c>
    </row>
    <row r="30" spans="1:6" x14ac:dyDescent="0.35">
      <c r="A30" s="53" t="s">
        <v>271</v>
      </c>
      <c r="B30" s="53">
        <f>COUNTIF('Daftar Belanja'!$S$5:$S$41,F30)</f>
        <v>7</v>
      </c>
      <c r="C30" s="54">
        <f>SUMIF('Daftar Belanja'!$S$5:$S$41,F30,'Daftar Belanja'!$J$5:$J$41)</f>
        <v>662000</v>
      </c>
      <c r="D30" s="54">
        <f>SUMIF('Daftar Belanja'!$S$5:$S$41,F30,'Daftar Belanja'!$K$5:$K$41)</f>
        <v>1035000</v>
      </c>
      <c r="E30" s="53" t="s">
        <v>239</v>
      </c>
      <c r="F30" s="51">
        <v>3</v>
      </c>
    </row>
    <row r="31" spans="1:6" x14ac:dyDescent="0.35">
      <c r="A31" s="55" t="s">
        <v>259</v>
      </c>
      <c r="B31" s="55">
        <f>SUM(B28:B30)</f>
        <v>36</v>
      </c>
      <c r="C31" s="56">
        <f>SUM(C28:C30)</f>
        <v>3377000</v>
      </c>
      <c r="D31" s="56">
        <f>SUM(D28:D30)</f>
        <v>5277000</v>
      </c>
      <c r="E31" s="5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zoomScaleNormal="100" workbookViewId="0"/>
  </sheetViews>
  <sheetFormatPr defaultColWidth="8.6328125" defaultRowHeight="14.5" x14ac:dyDescent="0.35"/>
  <cols>
    <col min="1" max="1" width="18" customWidth="1"/>
    <col min="2" max="2" width="110" customWidth="1"/>
  </cols>
  <sheetData>
    <row r="1" spans="1:2" ht="17.25" customHeight="1" x14ac:dyDescent="0.4">
      <c r="A1" s="1" t="s">
        <v>272</v>
      </c>
    </row>
    <row r="3" spans="1:2" ht="15" customHeight="1" x14ac:dyDescent="0.35">
      <c r="A3" s="57" t="s">
        <v>273</v>
      </c>
      <c r="B3" s="58" t="s">
        <v>274</v>
      </c>
    </row>
    <row r="4" spans="1:2" ht="15" customHeight="1" x14ac:dyDescent="0.35">
      <c r="A4" s="57" t="s">
        <v>275</v>
      </c>
      <c r="B4" s="58" t="s">
        <v>276</v>
      </c>
    </row>
    <row r="5" spans="1:2" ht="15" customHeight="1" x14ac:dyDescent="0.35">
      <c r="A5" s="57" t="s">
        <v>277</v>
      </c>
      <c r="B5" s="58" t="s">
        <v>278</v>
      </c>
    </row>
    <row r="6" spans="1:2" ht="15" customHeight="1" x14ac:dyDescent="0.35">
      <c r="A6" s="57" t="s">
        <v>279</v>
      </c>
      <c r="B6" s="58" t="s">
        <v>280</v>
      </c>
    </row>
    <row r="7" spans="1:2" ht="15" customHeight="1" x14ac:dyDescent="0.35">
      <c r="A7" s="57" t="s">
        <v>281</v>
      </c>
      <c r="B7" s="58" t="s">
        <v>282</v>
      </c>
    </row>
    <row r="8" spans="1:2" ht="15" customHeight="1" x14ac:dyDescent="0.35">
      <c r="A8" s="57" t="s">
        <v>283</v>
      </c>
      <c r="B8" s="58" t="s">
        <v>284</v>
      </c>
    </row>
    <row r="9" spans="1:2" ht="15" customHeight="1" x14ac:dyDescent="0.35">
      <c r="A9" s="57" t="s">
        <v>285</v>
      </c>
      <c r="B9" s="58" t="s">
        <v>286</v>
      </c>
    </row>
    <row r="10" spans="1:2" ht="15" customHeight="1" x14ac:dyDescent="0.35">
      <c r="A10" s="57" t="s">
        <v>287</v>
      </c>
      <c r="B10" s="58" t="s">
        <v>288</v>
      </c>
    </row>
    <row r="11" spans="1:2" ht="15" customHeight="1" x14ac:dyDescent="0.35">
      <c r="A11" s="57" t="s">
        <v>289</v>
      </c>
      <c r="B11" s="58" t="s">
        <v>290</v>
      </c>
    </row>
    <row r="12" spans="1:2" ht="23.25" customHeight="1" x14ac:dyDescent="0.35">
      <c r="A12" s="57" t="s">
        <v>291</v>
      </c>
      <c r="B12" s="58" t="s">
        <v>292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Daftar Belanja</vt:lpstr>
      <vt:lpstr>Tahap 1</vt:lpstr>
      <vt:lpstr>Tahap 2</vt:lpstr>
      <vt:lpstr>Tahap 3</vt:lpstr>
      <vt:lpstr>Ringkasan</vt:lpstr>
      <vt:lpstr>Cek Sebelum Beli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Marcel Suandi Tambing S T</cp:lastModifiedBy>
  <cp:revision>0</cp:revision>
  <dcterms:created xsi:type="dcterms:W3CDTF">2026-10-04T16:52:24Z</dcterms:created>
  <dcterms:modified xsi:type="dcterms:W3CDTF">2026-10-13T15:58:42Z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2026-10-08T06:18:23Z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c830f0ba-225c-4e12-9a2f-3f8f1032c849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