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Marcel\Kuliah S2 Smart X ITB\4. Semester 4\Deeptech Hackathon AISX\uji_ddsu666\"/>
    </mc:Choice>
  </mc:AlternateContent>
  <xr:revisionPtr revIDLastSave="0" documentId="13_ncr:1_{F6A9F7EB-1823-4BB7-8D31-217EA86B5B5D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Template Tim" sheetId="1" r:id="rId1"/>
    <sheet name="Rincian &amp; Bukti" sheetId="2" r:id="rId2"/>
    <sheet name="Tidak Diajukan" sheetId="3" r:id="rId3"/>
    <sheet name="Petunjuk Salin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45" i="2" l="1"/>
  <c r="E45" i="2"/>
  <c r="D45" i="2"/>
  <c r="G45" i="2" s="1"/>
  <c r="C45" i="2"/>
  <c r="F44" i="2"/>
  <c r="E44" i="2"/>
  <c r="D44" i="2"/>
  <c r="G44" i="2" s="1"/>
  <c r="C44" i="2"/>
  <c r="F43" i="2"/>
  <c r="E43" i="2"/>
  <c r="D43" i="2"/>
  <c r="G43" i="2" s="1"/>
  <c r="C43" i="2"/>
  <c r="F42" i="2"/>
  <c r="E42" i="2"/>
  <c r="D42" i="2"/>
  <c r="G42" i="2" s="1"/>
  <c r="C42" i="2"/>
  <c r="F41" i="2"/>
  <c r="E41" i="2"/>
  <c r="D41" i="2"/>
  <c r="G41" i="2" s="1"/>
  <c r="C41" i="2"/>
  <c r="F40" i="2"/>
  <c r="E40" i="2"/>
  <c r="D40" i="2"/>
  <c r="G40" i="2" s="1"/>
  <c r="C40" i="2"/>
  <c r="G39" i="2"/>
  <c r="F39" i="2"/>
  <c r="E39" i="2"/>
  <c r="D39" i="2"/>
  <c r="C39" i="2"/>
  <c r="F38" i="2"/>
  <c r="E38" i="2"/>
  <c r="D38" i="2"/>
  <c r="G38" i="2" s="1"/>
  <c r="C38" i="2"/>
  <c r="F37" i="2"/>
  <c r="E37" i="2"/>
  <c r="D37" i="2"/>
  <c r="G37" i="2" s="1"/>
  <c r="C37" i="2"/>
  <c r="F36" i="2"/>
  <c r="E36" i="2"/>
  <c r="D36" i="2"/>
  <c r="G36" i="2" s="1"/>
  <c r="C36" i="2"/>
  <c r="F35" i="2"/>
  <c r="E35" i="2"/>
  <c r="D35" i="2"/>
  <c r="G35" i="2" s="1"/>
  <c r="C35" i="2"/>
  <c r="F34" i="2"/>
  <c r="E34" i="2"/>
  <c r="D34" i="2"/>
  <c r="G34" i="2" s="1"/>
  <c r="C34" i="2"/>
  <c r="F33" i="2"/>
  <c r="E33" i="2"/>
  <c r="D33" i="2"/>
  <c r="G33" i="2" s="1"/>
  <c r="C33" i="2"/>
  <c r="F32" i="2"/>
  <c r="E32" i="2"/>
  <c r="D32" i="2"/>
  <c r="G32" i="2" s="1"/>
  <c r="C32" i="2"/>
  <c r="F31" i="2"/>
  <c r="E31" i="2"/>
  <c r="D31" i="2"/>
  <c r="G31" i="2" s="1"/>
  <c r="C31" i="2"/>
  <c r="F30" i="2"/>
  <c r="E30" i="2"/>
  <c r="D30" i="2"/>
  <c r="G30" i="2" s="1"/>
  <c r="C30" i="2"/>
  <c r="F29" i="2"/>
  <c r="E29" i="2"/>
  <c r="D29" i="2"/>
  <c r="G29" i="2" s="1"/>
  <c r="C29" i="2"/>
  <c r="F28" i="2"/>
  <c r="E28" i="2"/>
  <c r="D28" i="2"/>
  <c r="G28" i="2" s="1"/>
  <c r="C28" i="2"/>
  <c r="F27" i="2"/>
  <c r="E27" i="2"/>
  <c r="D27" i="2"/>
  <c r="G27" i="2" s="1"/>
  <c r="C27" i="2"/>
  <c r="F26" i="2"/>
  <c r="E26" i="2"/>
  <c r="D26" i="2"/>
  <c r="G26" i="2" s="1"/>
  <c r="C26" i="2"/>
  <c r="F25" i="2"/>
  <c r="E25" i="2"/>
  <c r="D25" i="2"/>
  <c r="G25" i="2" s="1"/>
  <c r="C25" i="2"/>
  <c r="F24" i="2"/>
  <c r="E24" i="2"/>
  <c r="D24" i="2"/>
  <c r="G24" i="2" s="1"/>
  <c r="C24" i="2"/>
  <c r="F23" i="2"/>
  <c r="E23" i="2"/>
  <c r="D23" i="2"/>
  <c r="G23" i="2" s="1"/>
  <c r="C23" i="2"/>
  <c r="F22" i="2"/>
  <c r="E22" i="2"/>
  <c r="D22" i="2"/>
  <c r="G22" i="2" s="1"/>
  <c r="C22" i="2"/>
  <c r="F21" i="2"/>
  <c r="E21" i="2"/>
  <c r="D21" i="2"/>
  <c r="G21" i="2" s="1"/>
  <c r="C21" i="2"/>
  <c r="F20" i="2"/>
  <c r="E20" i="2"/>
  <c r="D20" i="2"/>
  <c r="G20" i="2" s="1"/>
  <c r="C20" i="2"/>
  <c r="F19" i="2"/>
  <c r="E19" i="2"/>
  <c r="D19" i="2"/>
  <c r="G19" i="2" s="1"/>
  <c r="C19" i="2"/>
  <c r="F18" i="2"/>
  <c r="E18" i="2"/>
  <c r="D18" i="2"/>
  <c r="G18" i="2" s="1"/>
  <c r="C18" i="2"/>
  <c r="F17" i="2"/>
  <c r="E17" i="2"/>
  <c r="D17" i="2"/>
  <c r="G17" i="2" s="1"/>
  <c r="C17" i="2"/>
  <c r="F16" i="2"/>
  <c r="E16" i="2"/>
  <c r="D16" i="2"/>
  <c r="G16" i="2" s="1"/>
  <c r="C16" i="2"/>
  <c r="F15" i="2"/>
  <c r="E15" i="2"/>
  <c r="D15" i="2"/>
  <c r="G15" i="2" s="1"/>
  <c r="C15" i="2"/>
  <c r="F14" i="2"/>
  <c r="E14" i="2"/>
  <c r="D14" i="2"/>
  <c r="G14" i="2" s="1"/>
  <c r="C14" i="2"/>
  <c r="F13" i="2"/>
  <c r="E13" i="2"/>
  <c r="D13" i="2"/>
  <c r="G13" i="2" s="1"/>
  <c r="C13" i="2"/>
  <c r="F12" i="2"/>
  <c r="E12" i="2"/>
  <c r="D12" i="2"/>
  <c r="G12" i="2" s="1"/>
  <c r="C12" i="2"/>
  <c r="F11" i="2"/>
  <c r="E11" i="2"/>
  <c r="D11" i="2"/>
  <c r="G11" i="2" s="1"/>
  <c r="C11" i="2"/>
  <c r="F10" i="2"/>
  <c r="E10" i="2"/>
  <c r="D10" i="2"/>
  <c r="G10" i="2" s="1"/>
  <c r="C10" i="2"/>
  <c r="F9" i="2"/>
  <c r="E9" i="2"/>
  <c r="D9" i="2"/>
  <c r="G9" i="2" s="1"/>
  <c r="C9" i="2"/>
  <c r="F8" i="2"/>
  <c r="E8" i="2"/>
  <c r="D8" i="2"/>
  <c r="G8" i="2" s="1"/>
  <c r="C8" i="2"/>
  <c r="F7" i="2"/>
  <c r="E7" i="2"/>
  <c r="D7" i="2"/>
  <c r="G7" i="2" s="1"/>
  <c r="C7" i="2"/>
  <c r="F6" i="2"/>
  <c r="E6" i="2"/>
  <c r="D6" i="2"/>
  <c r="G6" i="2" s="1"/>
  <c r="G49" i="2" s="1"/>
  <c r="C6" i="2"/>
  <c r="F5" i="2"/>
  <c r="E5" i="2"/>
  <c r="D5" i="2"/>
  <c r="G5" i="2" s="1"/>
  <c r="C5" i="2"/>
  <c r="F4" i="2"/>
  <c r="E4" i="2"/>
  <c r="D4" i="2"/>
  <c r="G4" i="2" s="1"/>
  <c r="G48" i="2" s="1"/>
  <c r="C4" i="2"/>
  <c r="F3" i="2"/>
  <c r="E3" i="2"/>
  <c r="D3" i="2"/>
  <c r="G3" i="2" s="1"/>
  <c r="C3" i="2"/>
  <c r="F2" i="2"/>
  <c r="E2" i="2"/>
  <c r="D2" i="2"/>
  <c r="G2" i="2" s="1"/>
  <c r="C2" i="2"/>
  <c r="Q65" i="1"/>
  <c r="M9" i="1" s="1"/>
  <c r="N65" i="1"/>
  <c r="J65" i="1"/>
  <c r="A65" i="1"/>
  <c r="Q64" i="1"/>
  <c r="N64" i="1"/>
  <c r="J64" i="1"/>
  <c r="A64" i="1"/>
  <c r="Q63" i="1"/>
  <c r="N63" i="1"/>
  <c r="J63" i="1"/>
  <c r="A63" i="1"/>
  <c r="Q62" i="1"/>
  <c r="N62" i="1"/>
  <c r="J62" i="1"/>
  <c r="A62" i="1"/>
  <c r="Q61" i="1"/>
  <c r="N61" i="1"/>
  <c r="J61" i="1"/>
  <c r="A61" i="1"/>
  <c r="Q60" i="1"/>
  <c r="N60" i="1"/>
  <c r="J60" i="1"/>
  <c r="A60" i="1"/>
  <c r="Q59" i="1"/>
  <c r="N59" i="1"/>
  <c r="J59" i="1"/>
  <c r="A59" i="1"/>
  <c r="Q58" i="1"/>
  <c r="N58" i="1"/>
  <c r="J58" i="1"/>
  <c r="A58" i="1"/>
  <c r="Q57" i="1"/>
  <c r="N57" i="1"/>
  <c r="J57" i="1"/>
  <c r="A57" i="1"/>
  <c r="Q56" i="1"/>
  <c r="N56" i="1"/>
  <c r="J56" i="1"/>
  <c r="A56" i="1"/>
  <c r="Q55" i="1"/>
  <c r="N55" i="1"/>
  <c r="J55" i="1"/>
  <c r="A55" i="1"/>
  <c r="Q54" i="1"/>
  <c r="N54" i="1"/>
  <c r="J54" i="1"/>
  <c r="A54" i="1"/>
  <c r="Q53" i="1"/>
  <c r="N53" i="1"/>
  <c r="J53" i="1"/>
  <c r="A53" i="1"/>
  <c r="Q52" i="1"/>
  <c r="N52" i="1"/>
  <c r="J52" i="1"/>
  <c r="A52" i="1"/>
  <c r="Q51" i="1"/>
  <c r="N51" i="1"/>
  <c r="J51" i="1"/>
  <c r="A51" i="1"/>
  <c r="Q50" i="1"/>
  <c r="N50" i="1"/>
  <c r="J50" i="1"/>
  <c r="A50" i="1"/>
  <c r="Q49" i="1"/>
  <c r="N49" i="1"/>
  <c r="J49" i="1"/>
  <c r="A49" i="1"/>
  <c r="Q48" i="1"/>
  <c r="N48" i="1"/>
  <c r="J48" i="1"/>
  <c r="A48" i="1"/>
  <c r="Q47" i="1"/>
  <c r="N47" i="1"/>
  <c r="J47" i="1"/>
  <c r="A47" i="1"/>
  <c r="Q46" i="1"/>
  <c r="N46" i="1"/>
  <c r="J46" i="1"/>
  <c r="A46" i="1"/>
  <c r="Q45" i="1"/>
  <c r="N45" i="1"/>
  <c r="J45" i="1"/>
  <c r="A45" i="1"/>
  <c r="Q44" i="1"/>
  <c r="N44" i="1"/>
  <c r="J44" i="1"/>
  <c r="A44" i="1"/>
  <c r="Q43" i="1"/>
  <c r="N43" i="1"/>
  <c r="J43" i="1"/>
  <c r="A43" i="1"/>
  <c r="Q42" i="1"/>
  <c r="N42" i="1"/>
  <c r="J42" i="1"/>
  <c r="A42" i="1"/>
  <c r="Q41" i="1"/>
  <c r="N41" i="1"/>
  <c r="J41" i="1"/>
  <c r="A41" i="1"/>
  <c r="Q40" i="1"/>
  <c r="N40" i="1"/>
  <c r="J40" i="1"/>
  <c r="A40" i="1"/>
  <c r="Q39" i="1"/>
  <c r="N39" i="1"/>
  <c r="J39" i="1"/>
  <c r="A39" i="1"/>
  <c r="Q38" i="1"/>
  <c r="N38" i="1"/>
  <c r="J38" i="1"/>
  <c r="A38" i="1"/>
  <c r="Q37" i="1"/>
  <c r="N37" i="1"/>
  <c r="J37" i="1"/>
  <c r="A37" i="1"/>
  <c r="Q36" i="1"/>
  <c r="N36" i="1"/>
  <c r="J36" i="1"/>
  <c r="A36" i="1"/>
  <c r="Q35" i="1"/>
  <c r="N35" i="1"/>
  <c r="J35" i="1"/>
  <c r="A35" i="1"/>
  <c r="Q34" i="1"/>
  <c r="N34" i="1"/>
  <c r="J34" i="1"/>
  <c r="A34" i="1"/>
  <c r="Q33" i="1"/>
  <c r="N33" i="1"/>
  <c r="J33" i="1"/>
  <c r="A33" i="1"/>
  <c r="Q32" i="1"/>
  <c r="N32" i="1"/>
  <c r="J32" i="1"/>
  <c r="A32" i="1"/>
  <c r="Q31" i="1"/>
  <c r="N31" i="1"/>
  <c r="J31" i="1"/>
  <c r="A31" i="1"/>
  <c r="Q30" i="1"/>
  <c r="N30" i="1"/>
  <c r="J30" i="1"/>
  <c r="A30" i="1"/>
  <c r="Q29" i="1"/>
  <c r="N29" i="1"/>
  <c r="J29" i="1"/>
  <c r="A29" i="1"/>
  <c r="Q28" i="1"/>
  <c r="N28" i="1"/>
  <c r="J28" i="1"/>
  <c r="A28" i="1"/>
  <c r="Q27" i="1"/>
  <c r="N27" i="1"/>
  <c r="J27" i="1"/>
  <c r="A27" i="1"/>
  <c r="Q26" i="1"/>
  <c r="N26" i="1"/>
  <c r="J26" i="1"/>
  <c r="A26" i="1"/>
  <c r="Q25" i="1"/>
  <c r="N25" i="1"/>
  <c r="J25" i="1"/>
  <c r="A25" i="1"/>
  <c r="Q24" i="1"/>
  <c r="N24" i="1"/>
  <c r="J24" i="1"/>
  <c r="A24" i="1"/>
  <c r="Q23" i="1"/>
  <c r="N23" i="1"/>
  <c r="J23" i="1"/>
  <c r="A23" i="1"/>
  <c r="Q22" i="1"/>
  <c r="N22" i="1"/>
  <c r="J22" i="1"/>
  <c r="A22" i="1"/>
  <c r="Q21" i="1"/>
  <c r="N21" i="1"/>
  <c r="J21" i="1"/>
  <c r="A21" i="1"/>
  <c r="Q20" i="1"/>
  <c r="N20" i="1"/>
  <c r="J20" i="1"/>
  <c r="A20" i="1"/>
  <c r="Q19" i="1"/>
  <c r="N19" i="1"/>
  <c r="J19" i="1"/>
  <c r="A19" i="1"/>
  <c r="Q18" i="1"/>
  <c r="N18" i="1"/>
  <c r="J18" i="1"/>
  <c r="A18" i="1"/>
  <c r="Q17" i="1"/>
  <c r="N17" i="1"/>
  <c r="J17" i="1"/>
  <c r="A17" i="1"/>
  <c r="Q16" i="1"/>
  <c r="N16" i="1"/>
  <c r="J16" i="1"/>
  <c r="A16" i="1"/>
  <c r="M8" i="1"/>
  <c r="M7" i="1"/>
  <c r="M11" i="1" s="1"/>
  <c r="M6" i="1"/>
  <c r="M5" i="1"/>
  <c r="G46" i="2" l="1"/>
  <c r="G4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I18" authorId="0" shapeId="0" xr:uid="{00000000-0006-0000-0000-000001000000}">
      <text>
        <r>
          <rPr>
            <sz val="10"/>
            <rFont val="Arial"/>
            <family val="2"/>
          </rPr>
          <t>Harga ESTIMASI pasar — ganti dengan harga di nota/toko sebelum diajukan.</t>
        </r>
      </text>
    </comment>
    <comment ref="I20" authorId="0" shapeId="0" xr:uid="{00000000-0006-0000-0000-000002000000}">
      <text>
        <r>
          <rPr>
            <sz val="10"/>
            <rFont val="Arial"/>
            <family val="2"/>
          </rPr>
          <t>Barang milik tim — harga referensi pasar (link toko di kolom K).</t>
        </r>
      </text>
    </comment>
    <comment ref="I21" authorId="0" shapeId="0" xr:uid="{00000000-0006-0000-0000-000003000000}">
      <text>
        <r>
          <rPr>
            <sz val="10"/>
            <rFont val="Arial"/>
            <family val="2"/>
          </rPr>
          <t>Harga ESTIMASI pasar — ganti dengan harga di nota/toko sebelum diajukan.</t>
        </r>
      </text>
    </comment>
    <comment ref="I23" authorId="0" shapeId="0" xr:uid="{00000000-0006-0000-0000-000004000000}">
      <text>
        <r>
          <rPr>
            <sz val="10"/>
            <rFont val="Arial"/>
            <family val="2"/>
          </rPr>
          <t>Harga ESTIMASI pasar — ganti dengan harga di nota/toko sebelum diajukan.</t>
        </r>
      </text>
    </comment>
    <comment ref="I25" authorId="0" shapeId="0" xr:uid="{00000000-0006-0000-0000-000005000000}">
      <text>
        <r>
          <rPr>
            <sz val="10"/>
            <rFont val="Arial"/>
            <family val="2"/>
          </rPr>
          <t>Barang milik tim — harga referensi pasar (link toko di kolom K).</t>
        </r>
      </text>
    </comment>
    <comment ref="I26" authorId="0" shapeId="0" xr:uid="{00000000-0006-0000-0000-000006000000}">
      <text>
        <r>
          <rPr>
            <sz val="10"/>
            <rFont val="Arial"/>
            <family val="2"/>
          </rPr>
          <t>Harga ESTIMASI pasar — ganti dengan harga di nota/toko sebelum diajukan.</t>
        </r>
      </text>
    </comment>
    <comment ref="I31" authorId="0" shapeId="0" xr:uid="{00000000-0006-0000-0000-000007000000}">
      <text>
        <r>
          <rPr>
            <sz val="10"/>
            <rFont val="Arial"/>
            <family val="2"/>
          </rPr>
          <t>Harga ESTIMASI pasar — ganti dengan harga di nota/toko sebelum diajukan.</t>
        </r>
      </text>
    </comment>
    <comment ref="I33" authorId="0" shapeId="0" xr:uid="{00000000-0006-0000-0000-000008000000}">
      <text>
        <r>
          <rPr>
            <sz val="10"/>
            <rFont val="Arial"/>
            <family val="2"/>
          </rPr>
          <t>Harga ESTIMASI pasar — ganti dengan harga di nota/toko sebelum diajukan.</t>
        </r>
      </text>
    </comment>
    <comment ref="I34" authorId="0" shapeId="0" xr:uid="{00000000-0006-0000-0000-000009000000}">
      <text>
        <r>
          <rPr>
            <sz val="10"/>
            <rFont val="Arial"/>
            <family val="2"/>
          </rPr>
          <t>Harga ESTIMASI pasar — ganti dengan harga di nota/toko sebelum diajukan.</t>
        </r>
      </text>
    </comment>
    <comment ref="I36" authorId="0" shapeId="0" xr:uid="{00000000-0006-0000-0000-00000A000000}">
      <text>
        <r>
          <rPr>
            <sz val="10"/>
            <rFont val="Arial"/>
            <family val="2"/>
          </rPr>
          <t>Harga ESTIMASI pasar — ganti dengan harga di nota/toko sebelum diajukan.</t>
        </r>
      </text>
    </comment>
    <comment ref="I44" authorId="0" shapeId="0" xr:uid="{00000000-0006-0000-0000-00000B000000}">
      <text>
        <r>
          <rPr>
            <sz val="10"/>
            <rFont val="Arial"/>
            <family val="2"/>
          </rPr>
          <t>Harga ESTIMASI pasar — ganti dengan harga di nota/toko sebelum diajukan.</t>
        </r>
      </text>
    </comment>
    <comment ref="I45" authorId="0" shapeId="0" xr:uid="{00000000-0006-0000-0000-00000C000000}">
      <text>
        <r>
          <rPr>
            <sz val="10"/>
            <rFont val="Arial"/>
            <family val="2"/>
          </rPr>
          <t>Harga ESTIMASI pasar — ganti dengan harga di nota/toko sebelum diajukan.</t>
        </r>
      </text>
    </comment>
    <comment ref="I46" authorId="0" shapeId="0" xr:uid="{00000000-0006-0000-0000-00000D000000}">
      <text>
        <r>
          <rPr>
            <sz val="10"/>
            <rFont val="Arial"/>
            <family val="2"/>
          </rPr>
          <t>Harga ESTIMASI pasar — ganti dengan harga di nota/toko sebelum diajukan.</t>
        </r>
      </text>
    </comment>
    <comment ref="I47" authorId="0" shapeId="0" xr:uid="{00000000-0006-0000-0000-00000E000000}">
      <text>
        <r>
          <rPr>
            <sz val="10"/>
            <rFont val="Arial"/>
            <family val="2"/>
          </rPr>
          <t>Harga ESTIMASI pasar — ganti dengan harga di nota/toko sebelum diajukan.</t>
        </r>
      </text>
    </comment>
    <comment ref="I48" authorId="0" shapeId="0" xr:uid="{00000000-0006-0000-0000-00000F000000}">
      <text>
        <r>
          <rPr>
            <sz val="10"/>
            <rFont val="Arial"/>
            <family val="2"/>
          </rPr>
          <t>Harga ESTIMASI pasar — ganti dengan harga di nota/toko sebelum diajukan.</t>
        </r>
      </text>
    </comment>
    <comment ref="I49" authorId="0" shapeId="0" xr:uid="{00000000-0006-0000-0000-000010000000}">
      <text>
        <r>
          <rPr>
            <sz val="10"/>
            <rFont val="Arial"/>
            <family val="2"/>
          </rPr>
          <t>Barang milik tim — harga referensi pasar (link toko di kolom K).</t>
        </r>
      </text>
    </comment>
    <comment ref="I50" authorId="0" shapeId="0" xr:uid="{00000000-0006-0000-0000-000011000000}">
      <text>
        <r>
          <rPr>
            <sz val="10"/>
            <rFont val="Arial"/>
            <family val="2"/>
          </rPr>
          <t>Harga ESTIMASI pasar — ganti dengan harga di nota/toko sebelum diajukan.</t>
        </r>
      </text>
    </comment>
    <comment ref="I51" authorId="0" shapeId="0" xr:uid="{00000000-0006-0000-0000-000012000000}">
      <text>
        <r>
          <rPr>
            <sz val="10"/>
            <rFont val="Arial"/>
            <family val="2"/>
          </rPr>
          <t>Harga ESTIMASI pasar — ganti dengan harga di nota/toko sebelum diajukan.</t>
        </r>
      </text>
    </comment>
    <comment ref="I52" authorId="0" shapeId="0" xr:uid="{00000000-0006-0000-0000-000013000000}">
      <text>
        <r>
          <rPr>
            <sz val="10"/>
            <rFont val="Arial"/>
            <family val="2"/>
          </rPr>
          <t>Harga ESTIMASI pasar — ganti dengan harga di nota/toko sebelum diajukan.</t>
        </r>
      </text>
    </comment>
    <comment ref="I53" authorId="0" shapeId="0" xr:uid="{00000000-0006-0000-0000-000014000000}">
      <text>
        <r>
          <rPr>
            <sz val="10"/>
            <rFont val="Arial"/>
            <family val="2"/>
          </rPr>
          <t>Harga ESTIMASI pasar — ganti dengan harga di nota/toko sebelum diajukan.</t>
        </r>
      </text>
    </comment>
    <comment ref="I55" authorId="0" shapeId="0" xr:uid="{00000000-0006-0000-0000-000015000000}">
      <text>
        <r>
          <rPr>
            <sz val="10"/>
            <rFont val="Arial"/>
            <family val="2"/>
          </rPr>
          <t>Harga ESTIMASI pasar — ganti dengan harga di nota/toko sebelum diajukan.</t>
        </r>
      </text>
    </comment>
    <comment ref="I56" authorId="0" shapeId="0" xr:uid="{00000000-0006-0000-0000-000016000000}">
      <text>
        <r>
          <rPr>
            <sz val="10"/>
            <rFont val="Arial"/>
            <family val="2"/>
          </rPr>
          <t>Harga ESTIMASI pasar — ganti dengan harga di nota/toko sebelum diajukan.</t>
        </r>
      </text>
    </comment>
    <comment ref="I57" authorId="0" shapeId="0" xr:uid="{00000000-0006-0000-0000-000017000000}">
      <text>
        <r>
          <rPr>
            <sz val="10"/>
            <rFont val="Arial"/>
            <family val="2"/>
          </rPr>
          <t>Harga ESTIMASI pasar — ganti dengan harga di nota/toko sebelum diajukan.</t>
        </r>
      </text>
    </comment>
    <comment ref="I58" authorId="0" shapeId="0" xr:uid="{00000000-0006-0000-0000-000018000000}">
      <text>
        <r>
          <rPr>
            <sz val="10"/>
            <rFont val="Arial"/>
            <family val="2"/>
          </rPr>
          <t>Harga ESTIMASI pasar — ganti dengan harga di nota/toko sebelum diajukan.</t>
        </r>
      </text>
    </comment>
    <comment ref="I59" authorId="0" shapeId="0" xr:uid="{00000000-0006-0000-0000-000019000000}">
      <text>
        <r>
          <rPr>
            <sz val="10"/>
            <rFont val="Arial"/>
            <family val="2"/>
          </rPr>
          <t>Barang milik tim — harga referensi pasar (link toko di kolom K).</t>
        </r>
      </text>
    </comment>
  </commentList>
</comments>
</file>

<file path=xl/sharedStrings.xml><?xml version="1.0" encoding="utf-8"?>
<sst xmlns="http://schemas.openxmlformats.org/spreadsheetml/2006/main" count="688" uniqueCount="364">
  <si>
    <t>FORMULIR PENGAJUAN BARANG PENDUKUNG PENGEMBANGAN PURWARUPA (PROTOTYPE)</t>
  </si>
  <si>
    <t>DeepTech for Smart-X Hackathon: Digitalisasi &amp; Semikonduktor Berbasis AI Accelerator, Chip Design, dan Edge Intelligence</t>
  </si>
  <si>
    <t>Nama Tim</t>
  </si>
  <si>
    <t>Aku Anak Sehat</t>
  </si>
  <si>
    <t>Plafon Dana per Tim (diisi panitia)</t>
  </si>
  <si>
    <t>Nama Ketua Tim</t>
  </si>
  <si>
    <t>Marcel Suandi Tambing</t>
  </si>
  <si>
    <t>Total Pengajuan</t>
  </si>
  <si>
    <t>No. WhatsApp Ketua/PIC Tim</t>
  </si>
  <si>
    <t>6281286869644</t>
  </si>
  <si>
    <t>Sisa / (Kelebihan) Plafon</t>
  </si>
  <si>
    <t>Email Ketua/PIC Tim</t>
  </si>
  <si>
    <t>marcelsuanditambing@gmail.com</t>
  </si>
  <si>
    <t>Jumlah Item Diajukan</t>
  </si>
  <si>
    <t>Judul Proposal / Purwarupa</t>
  </si>
  <si>
    <t>Modul Perhitungan Penggunaan Listrik Aktif-Reaktif Berbasis Edge-IoT Dengan Koreksi Faktor Daya Otomatis untuk Menekan Penalti kVarh Pelanggan Industri PLN</t>
  </si>
  <si>
    <t>Item Berpotensi Barang Modal</t>
  </si>
  <si>
    <t>Track / Topik</t>
  </si>
  <si>
    <t>Smart Meter - Modul Perhitungan Penggunaan Listrik</t>
  </si>
  <si>
    <t>Total Disetujui Panitia</t>
  </si>
  <si>
    <t>Status pengajuan</t>
  </si>
  <si>
    <t>Isi hanya sel KUNING. Sel ABU-ABU terisi otomatis. Sel HIJAU diisi panitia. Barang modal/aset (nilai &gt; Rp5 juta &amp; masa pakai &gt; 1 tahun, atau dapat berfungsi mandiri) tidak dapat difasilitasi. Lihat sheet "Petunjuk Salin".</t>
  </si>
  <si>
    <t>DIISI OLEH PESERTA</t>
  </si>
  <si>
    <t>DIISI OLEH PANITIA</t>
  </si>
  <si>
    <t>No</t>
  </si>
  <si>
    <t>Nama Barang *</t>
  </si>
  <si>
    <t>Spesifikasi Teknis *
(merek/tipe/ukuran/versi)</t>
  </si>
  <si>
    <t>Kategori *</t>
  </si>
  <si>
    <t>Fungsi dalam Purwarupa *
(sesuai proposal)</t>
  </si>
  <si>
    <t>Jumlah *</t>
  </si>
  <si>
    <t>Satuan *</t>
  </si>
  <si>
    <t>Harga Satuan
(Rp) *</t>
  </si>
  <si>
    <t>Total Harga
(Rp)</t>
  </si>
  <si>
    <t>Link Toko / Referensi Harga *</t>
  </si>
  <si>
    <t>Prioritas *</t>
  </si>
  <si>
    <t>Sifat Barang *</t>
  </si>
  <si>
    <t>Cek Otomatis</t>
  </si>
  <si>
    <t>Status
Verifikasi</t>
  </si>
  <si>
    <t>Jumlah
Disetujui</t>
  </si>
  <si>
    <t>Total Disetujui
(Rp)</t>
  </si>
  <si>
    <t>Catatan Panitia</t>
  </si>
  <si>
    <t>Meter energi 1 fasa Modbus</t>
  </si>
  <si>
    <t>CHINT DDSU666, RS485 Modbus RTU, 5(80) A, 230 V, kelas 1, DIN rail 2 modul</t>
  </si>
  <si>
    <t>Sensor / alat ukur</t>
  </si>
  <si>
    <t>Mengukur V, I, P, Q, PF, f, kWh beban secara real-time; dibaca ESP32 via Modbus RTU sebagai dasar algoritma koreksi faktor daya</t>
  </si>
  <si>
    <t>unit</t>
  </si>
  <si>
    <t>https://www.tokopedia.com/listriknusantara/chint-ddsu666-single-phase-5-80-a-rs485-din-rail-meter-ip2w-220v</t>
  </si>
  <si>
    <t>Tinggi</t>
  </si>
  <si>
    <t>Habis pakai / komponen terpasang di purwarupa</t>
  </si>
  <si>
    <t>Modul TTL–RS485 auto-direction</t>
  </si>
  <si>
    <t>Modul merah MAX13487EESA, 5 V, terminal A/B/GND, jumper terminasi 120 Ω</t>
  </si>
  <si>
    <t>Modul komunikasi</t>
  </si>
  <si>
    <t>Antarmuka RS485 antara ESP32 dan meter DDSU666 (1 terpasang, 1 cadangan)</t>
  </si>
  <si>
    <t>pcs</t>
  </si>
  <si>
    <t>https://www.tokopedia.com/tekno-kreasi-elektronik/max3485-module-ttl-to-rs485-usart-communication</t>
  </si>
  <si>
    <t>Modul TTL–RS485 HW-0519</t>
  </si>
  <si>
    <t>HW-0519, MAX485ESA + 74HC04 (auto-direction), 3,3–5 V</t>
  </si>
  <si>
    <t>Modul RS485 cadangan untuk komunikasi ESP32–meter saat demo</t>
  </si>
  <si>
    <t>https://www.tokopedia.com/search?st=product&amp;q=hw-0519+ttl+to+rs485+auto+direction</t>
  </si>
  <si>
    <t>Rendah</t>
  </si>
  <si>
    <t>Habis pakai / komponen cadangan purwarupa</t>
  </si>
  <si>
    <t>Adaptor USB–RS485</t>
  </si>
  <si>
    <t>Konverter USB to RS485 chip CH340</t>
  </si>
  <si>
    <t>Membaca dan mengonfigurasi meter dari laptop saat uji meja dan kalibrasi (logger CSV)</t>
  </si>
  <si>
    <t>https://www.tokopedia.com/search?st=product&amp;q=usb+to+rs485+ch340</t>
  </si>
  <si>
    <t>Sedang</t>
  </si>
  <si>
    <t>Habis pakai / aksesori pengujian purwarupa</t>
  </si>
  <si>
    <t>Mikrokontroler ESP32 (edge controller)</t>
  </si>
  <si>
    <t>ESP32 DevKit ESP-WROOM-32D, 38 pin, Wi-Fi + BLE, USB CP2102</t>
  </si>
  <si>
    <t>Mikrokontroler / dev board</t>
  </si>
  <si>
    <t>Unit pemroses edge: membaca meter (Modbus), menjalankan algoritma koreksi faktor daya, mengendalikan SSR/relay, LCD, log dan koneksi Wi-Fi/MQTT ke dashboard (1 terpasang, 1 cadangan)</t>
  </si>
  <si>
    <t>https://www.tokopedia.com/sensorku-bekasi/esp32-esp-32-wroom-32-doit-devkit-v1-usb-c</t>
  </si>
  <si>
    <t>Shield / expansion board ESP32</t>
  </si>
  <si>
    <t>Base board ESP32 38 pin, header S-V-G, jumper V 5 V/3,3 V, input USB-C &amp; DC</t>
  </si>
  <si>
    <t>Dudukan ESP32 dan distribusi pin sinyal/catu ke modul SSR, relay, RS485, LCD dan microSD</t>
  </si>
  <si>
    <t>https://www.tokopedia.com/search?st=product&amp;q=esp32+expansion+board+shield+38+pin</t>
  </si>
  <si>
    <t>Level shifter dua arah 4 kanal</t>
  </si>
  <si>
    <t>Logic level converter BSS138, 3,3 V ↔ 5 V, 4 kanal</t>
  </si>
  <si>
    <t>Modul elektronik</t>
  </si>
  <si>
    <t>Penyesuai level I²C (LCD 5 V) dan UART (modul RS485 5 V) ke ESP32 3,3 V; 1 terpasang, 1 cadangan</t>
  </si>
  <si>
    <t>https://www.tokopedia.com/search?st=product&amp;q=i2c+logic+level+converter+bi-directional+5v+3.3v+4+channel</t>
  </si>
  <si>
    <t>LCD 20×4 + modul I²C</t>
  </si>
  <si>
    <t>LCD 2004A biru + backpack I²C PCF8574 (alamat 0x27), 5 V</t>
  </si>
  <si>
    <t>Tampilan lokal di pintu panel: V, I, P, Q, PF, status step, mode dan alarm</t>
  </si>
  <si>
    <t>https://www.tokopedia.com/search?st=product&amp;q=lcd+2004+i2c+20x4+biru</t>
  </si>
  <si>
    <t>Modul microSD SPI</t>
  </si>
  <si>
    <t>Micro SD card module SPI, regulator 3,3 V + buffer level onboard</t>
  </si>
  <si>
    <t>Penyimpanan log data cadangan (CSV tiap 10 s) bila Wi-Fi/laptop tidak tersedia</t>
  </si>
  <si>
    <t>https://www.tokopedia.com/focuscamerashop/microsd-module-for-arduino-3-3v-esp8266-esp32-tf-card-micro-sd-shield</t>
  </si>
  <si>
    <t>Kartu microSD</t>
  </si>
  <si>
    <t>microSD 32 GB SDHC Class 10, format FAT32</t>
  </si>
  <si>
    <t>Media penyimpanan log CSV harian dan event pada modul microSD</t>
  </si>
  <si>
    <t>https://www.tokopedia.com/search?st=product&amp;q=microsd%2032gb%20sandisk%20class%2010</t>
  </si>
  <si>
    <t>Modul SSR 4 kanal high-level trigger</t>
  </si>
  <si>
    <t>Omron G3MB-202P zero-cross, 2 A 240 VAC per kanal, input 5 V, sekring per kanal</t>
  </si>
  <si>
    <t>Modul elektronik / aktuator</t>
  </si>
  <si>
    <t>Saklar elektronik zero-cross untuk menyambung/melepas 3 step bank kapasitor sesuai perintah algoritma</t>
  </si>
  <si>
    <t>https://www.tokopedia.com/search?st=product&amp;q=ssr+4+channel+g3mb-202p+high+level+trigger</t>
  </si>
  <si>
    <t>SSR satuan (cadangan)</t>
  </si>
  <si>
    <t>Omron G3MB-202P DC 5 V, zero-cross, 2 A 240 VAC, SIP-4</t>
  </si>
  <si>
    <t>Pengganti cepat bila salah satu kanal SSR rusak saat pengujian/demo</t>
  </si>
  <si>
    <t>https://www.tokopedia.com/mkontrol/g3mb-202p-5v-dc-ac-ssr-in-5vdc-out-240vac-2a-solid-state-relay-omron</t>
  </si>
  <si>
    <t>Modul relay 4 kanal 5 V</t>
  </si>
  <si>
    <t>Relay Tongling JQC-3FF 10 A 250 VAC, optocoupler, jumper JD-VCC</t>
  </si>
  <si>
    <t>Menghidupkan/mematikan stopkontak beban demo (kompresor) dari ESP32 untuk skenario uji</t>
  </si>
  <si>
    <t>https://www.tokopedia.com/aifrobotic/4-channel-relay-module-5v-optocoupler</t>
  </si>
  <si>
    <t>Power supply 5 V 5 A</t>
  </si>
  <si>
    <t>Meanwell-type S-25-5, input 110/220 VAC, output 5 V 5 A, casing logam</t>
  </si>
  <si>
    <t>Catu daya</t>
  </si>
  <si>
    <t>Catu 5 V tertutup untuk ESP32, SSR, relay, LCD, RS485 dan microSD</t>
  </si>
  <si>
    <t>https://www.tokopedia.com/search?st=product&amp;q=power+supply+s-25-5+5v+5a</t>
  </si>
  <si>
    <t>Kapasitor AC step 6 µF</t>
  </si>
  <si>
    <t>CBB60 6 µF ±5 % 450 VAC 50/60 Hz, polypropylene, model kabel</t>
  </si>
  <si>
    <t>Komponen pasif</t>
  </si>
  <si>
    <t>Step kompensasi daya reaktif ±101 var/step (225 V); 1 unit cadangan</t>
  </si>
  <si>
    <t>https://www.tokopedia.com/search?st=product&amp;q=kapasitor+cbb60+6uf+450v</t>
  </si>
  <si>
    <t>Kapasitor AC step 4 µF</t>
  </si>
  <si>
    <t>CBB60 4 µF ±5 % 450 VAC 50/60 Hz, polypropylene</t>
  </si>
  <si>
    <t>Step kompensasi kecil ±64 var agar beban kecil (1–2 lampu TL) dapat dikoreksi ke PF ≥ 0,95</t>
  </si>
  <si>
    <t>https://www.tokopedia.com/search?st=product&amp;q=kapasitor+cbb60+4uf+450v</t>
  </si>
  <si>
    <t>Resistor pembuang muatan</t>
  </si>
  <si>
    <t>Resistor metal film 100 kΩ 1 W</t>
  </si>
  <si>
    <t>Membuang muatan kapasitor setelah lepas (2 seri per step, τ ≈ 1,3 s) demi keselamatan dan proteksi SSR</t>
  </si>
  <si>
    <t>https://www.tokopedia.com/search?st=product&amp;q=resistor+100k+1+watt+metal+film</t>
  </si>
  <si>
    <t>Kapasitor filter 100 nF</t>
  </si>
  <si>
    <t>Kapasitor MKP X2 0,1 µF 275 VAC (MEX/TENTA)</t>
  </si>
  <si>
    <t>Filter derau pada input tombol darurat (IO34) agar tidak terjadi pemicu palsu</t>
  </si>
  <si>
    <t>https://www.tokopedia.com/search?st=product&amp;q=kapasitor+x2+0.1uf+275vac+mkp</t>
  </si>
  <si>
    <t>Elco 1000 µF/16 V</t>
  </si>
  <si>
    <t>Kapasitor elektrolit 1000 µF 16 V radial</t>
  </si>
  <si>
    <t>Penyangga catu 5 V ESP32 saat lonjakan arus Wi-Fi/relay (mencegah brownout)</t>
  </si>
  <si>
    <t>https://www.tokopedia.com/search?st=product&amp;q=elco+1000uf+16v</t>
  </si>
  <si>
    <t>RCBO 1P+N</t>
  </si>
  <si>
    <t>CHINT NB3LE C16, 30 mA, 6 kA, 1P+N</t>
  </si>
  <si>
    <t>Proteksi &amp; panel listrik</t>
  </si>
  <si>
    <t>Pengaman utama panel terhadap arus lebih dan arus bocor (keselamatan demo 220 V)</t>
  </si>
  <si>
    <t>https://www.tokopedia.com/mylavdishop/rcbo-chint-elcb-mcb-1p-n-30ma-6a-10a-16a-20a-25a-cocok-untuk-aplikasi-earth-leakage-circuit-breaker-1730353828317726061</t>
  </si>
  <si>
    <t>MCB 1P beban</t>
  </si>
  <si>
    <t>Schneider Domae C4, 1P, 4,5 kA</t>
  </si>
  <si>
    <t>Pengaman grup beban demo (2 lampu TL + stopkontak)</t>
  </si>
  <si>
    <t>https://www.tokopedia.com/search?st=product&amp;q=mcb+schneider+domae+4a+1p</t>
  </si>
  <si>
    <t>Rumah sekring DIN</t>
  </si>
  <si>
    <t>EWIG RT18-32X, sekring 10×38 mm, 32 A, 690 V, dengan indikator</t>
  </si>
  <si>
    <t>Dudukan sekring per step kapasitor (F1–F3) dan catu PSU (F4)</t>
  </si>
  <si>
    <t>https://shop-id.tokopedia.com/pdp/1729603239571654831</t>
  </si>
  <si>
    <t>Sekring tabung 10×38 mm</t>
  </si>
  <si>
    <t>Sekring keramik 10×38 mm 2 A (step) dan 1 A (PSU), 500 V</t>
  </si>
  <si>
    <t>Pengaman hubung singkat tiap step kapasitor dan catu daya</t>
  </si>
  <si>
    <t>https://www.tokopedia.com/search?st=product&amp;q=sekring+fuse+10x38+2a</t>
  </si>
  <si>
    <t>Tombol darurat (emergency stop)</t>
  </si>
  <si>
    <t>CNAOM LAY37, Ø22 mm, twist-release, kontak 1NC + 1NO, 10 A</t>
  </si>
  <si>
    <t>Memutus daya beban dan kapasitor secara fisik (NC) sekaligus memberi sinyal ke ESP32 (NO)</t>
  </si>
  <si>
    <t>https://www.tokopedia.com/tenako/push-button-emergency-stop-maintained-lock-switch-22mm-tombol-darurat</t>
  </si>
  <si>
    <t>Lampu pilot hijau</t>
  </si>
  <si>
    <t>CNAOM AD16-16C LED 220 VAC ≤ 20 mA, lubang Ø16 mm</t>
  </si>
  <si>
    <t>Indikator fisik step kapasitor yang sedang aktif (terlihat juri tanpa membuka panel)</t>
  </si>
  <si>
    <t>https://www.tokopedia.com/search?st=product&amp;q=pilot+lamp+ad16-16c+220v+hijau+16mm</t>
  </si>
  <si>
    <t>Box panel besi</t>
  </si>
  <si>
    <t>Box panel indoor 30×40×20 cm, plat 1,2 mm, mounting plate, kunci</t>
  </si>
  <si>
    <t>Wadah seluruh komponen panel APFC (proteksi, meter, kontrol, bank kapasitor)</t>
  </si>
  <si>
    <t>https://www.tokopedia.com/bethaa-storee/box-panel-indoor-custom-pintu-akrilik-30x40-40x30-30-x-40-x-20-1-2mm</t>
  </si>
  <si>
    <t>Rel DIN</t>
  </si>
  <si>
    <t>Rel DIN 35 mm top hat, 1 m</t>
  </si>
  <si>
    <t>Dudukan RCBO, meter, rumah sekring, MCB dan terminal</t>
  </si>
  <si>
    <t>batang</t>
  </si>
  <si>
    <t>https://www.tokopedia.com/search?st=product&amp;q=rel+din+35mm+1+meter</t>
  </si>
  <si>
    <t>Terminal blok DIN</t>
  </si>
  <si>
    <t>Terminal UK2.5B + end stopper + jumper bar, 2,5 mm²</t>
  </si>
  <si>
    <t>Titik sambung distribusi L, N, PE dan 5 V di panel</t>
  </si>
  <si>
    <t>set</t>
  </si>
  <si>
    <t>https://www.tokopedia.com/search?st=product&amp;q=terminal+block+uk2.5b</t>
  </si>
  <si>
    <t>Terminal barrier 6 jalur</t>
  </si>
  <si>
    <t>Terminal strip TB-2506, 25 A, 600 V, 6 posisi</t>
  </si>
  <si>
    <t>Terminal masuk kabel sumber dan keluar ke papan beban</t>
  </si>
  <si>
    <t>https://www.tokopedia.com/search?st=product&amp;q=terminal+block+tb-2506</t>
  </si>
  <si>
    <t>Kabel panel NYAF</t>
  </si>
  <si>
    <t>Kabel serabut NYAF 1,5–2,5 mm², merah (L), biru (N), hijau-kuning (PE)</t>
  </si>
  <si>
    <t>Kabel &amp; aksesori</t>
  </si>
  <si>
    <t>Pengawatan daya 220 V di dalam panel</t>
  </si>
  <si>
    <t>meter</t>
  </si>
  <si>
    <t>https://www.tokopedia.com/search?st=product&amp;q=kabel+nyaf+1.5mm</t>
  </si>
  <si>
    <t>Habis pakai / bahan perakitan purwarupa</t>
  </si>
  <si>
    <t>Kabel sumber + steker</t>
  </si>
  <si>
    <t>Kabel NYMHY 3×1,5 mm² 3 m + steker ber-arde</t>
  </si>
  <si>
    <t>Menyalurkan daya dari stopkontak venue ke panel</t>
  </si>
  <si>
    <t>https://www.tokopedia.com/search?st=product&amp;q=kabel+nymhy+3x1.5+steker</t>
  </si>
  <si>
    <t>Kabel papan beban</t>
  </si>
  <si>
    <t>Kabel NYMHY/NYM 3×1,5 mm² untuk lampu dan stopkontak</t>
  </si>
  <si>
    <t>Pengawatan dari panel ke saklar, lampu TL dan stopkontak beban</t>
  </si>
  <si>
    <t>https://www.tokopedia.com/search?st=product&amp;q=kabel+nymhy+3x1.5</t>
  </si>
  <si>
    <t>Kabel jumper dupont</t>
  </si>
  <si>
    <t>Set kabel jumper dupont male–female/female–female 20 cm</t>
  </si>
  <si>
    <t>Sambungan sinyal antarmodul (ESP32, SSR, relay, RS485, LCD, microSD)</t>
  </si>
  <si>
    <t>https://www.tokopedia.com/search?st=product&amp;q=kabel+jumper+dupont+20cm+set</t>
  </si>
  <si>
    <t>Kabel komunikasi RS485</t>
  </si>
  <si>
    <t>Kabel UTP Cat5e (1 pasang berpilin dipakai untuk A/B)</t>
  </si>
  <si>
    <t>Jalur komunikasi RS485 antara meter DDSU666 dan modul TTL–RS485</t>
  </si>
  <si>
    <t>https://www.tokopedia.com/search?st=product&amp;q=kabel%20utp%20cat5e%20meteran</t>
  </si>
  <si>
    <t>PCB lubang (perforated board)</t>
  </si>
  <si>
    <t>PCB matriks double layer, ±10×22 cm</t>
  </si>
  <si>
    <t>Papan rangkaian kecil pull-up, filter IO34 dan distribusi 5 V</t>
  </si>
  <si>
    <t>lembar</t>
  </si>
  <si>
    <t>https://www.tokopedia.com/search?st=product&amp;q=pcb+lubang+matrix+double+layer</t>
  </si>
  <si>
    <t>Spacer nylon M3 + baut + mur</t>
  </si>
  <si>
    <t>Spacer nylon M3 10–15 mm, baut dan mur M3 stainless</t>
  </si>
  <si>
    <t>Mengangkat modul elektronik dari pelat besi panel agar tidak terjadi hubung singkat</t>
  </si>
  <si>
    <t>https://www.tokopedia.com/search?st=product&amp;q=spacer+nylon+m3+set+baut+mur</t>
  </si>
  <si>
    <t>Aksesoris pengawatan</t>
  </si>
  <si>
    <t>Skun pin/ring, cable tie, isolasi, spiral wrap, label kabel</t>
  </si>
  <si>
    <t>Merapikan dan mengamankan sambungan kabel panel</t>
  </si>
  <si>
    <t>paket</t>
  </si>
  <si>
    <t>https://www.tokopedia.com/search?st=product&amp;q=skun+kabel+cable+tie+spiral+wrap+set</t>
  </si>
  <si>
    <t>Mata bor / step drill</t>
  </si>
  <si>
    <t>Step drill HSS 4–22 mm (lubang E-stop Ø22, pilot Ø16, LCD)</t>
  </si>
  <si>
    <t>Perkakas habis pakai</t>
  </si>
  <si>
    <t>Membuat lubang komponen pada pintu panel besi</t>
  </si>
  <si>
    <t>https://www.tokopedia.com/search?st=product&amp;q=step+drill+hss+4-22mm</t>
  </si>
  <si>
    <t>Lampu TL lengkap</t>
  </si>
  <si>
    <t>Armatur Vatalux 20 W + ballast magnetik BTA 20 W + starter, tabung Philips TLD 18 W</t>
  </si>
  <si>
    <t>Beban uji</t>
  </si>
  <si>
    <t>Beban induktif demo (PF ±0,4) yang dikoreksi oleh bank kapasitor</t>
  </si>
  <si>
    <t>https://www.tokopedia.com/search?st=product&amp;q=kap+lampu+tl+20+watt+vatalux</t>
  </si>
  <si>
    <t>Saklar ganda outbow</t>
  </si>
  <si>
    <t>Saklar seri (2 gang) outbow, 10 A 250 V</t>
  </si>
  <si>
    <t>Menyalakan/mematikan lampu TL untuk mengubah beban demo</t>
  </si>
  <si>
    <t>https://www.tokopedia.com/search?st=product&amp;q=saklar+seri+outbow+broco</t>
  </si>
  <si>
    <t>Stopkontak outbow ber-arde</t>
  </si>
  <si>
    <t>Stopkontak outbow 1 lubang dengan arde, 16 A 250 V</t>
  </si>
  <si>
    <t>Colokan beban demo (kompresor); XS2 dikendalikan relay ESP32</t>
  </si>
  <si>
    <t>https://www.tokopedia.com/search?st=product&amp;q=stop+kontak+outbow+arde</t>
  </si>
  <si>
    <t>Papan dudukan beban</t>
  </si>
  <si>
    <t>Triplek/multiplek ±90×70 cm + cat putih</t>
  </si>
  <si>
    <t>Mekanik / rangka</t>
  </si>
  <si>
    <t>Papan pemasangan panel, saklar, stopkontak dan lampu TL</t>
  </si>
  <si>
    <t>https://www.tokopedia.com/search?st=product&amp;q=triplek+12mm</t>
  </si>
  <si>
    <t>Rangka besi siku</t>
  </si>
  <si>
    <t>Besi siku lubang (rak) + baut, untuk stand berdiri papan demo</t>
  </si>
  <si>
    <t>Penyangga papan demo agar dapat berdiri di area pameran</t>
  </si>
  <si>
    <t>https://www.tokopedia.com/search?st=product&amp;q=besi+siku+lubang+rak</t>
  </si>
  <si>
    <t>Multimeter digital</t>
  </si>
  <si>
    <t>UNI-T UT33D+ (V, A, Ω, kontinuitas)</t>
  </si>
  <si>
    <t>Pengecekan tegangan sisa kapasitor, kontinuitas pengawatan dan commissioning panel</t>
  </si>
  <si>
    <t>https://www.tokopedia.com/search?st=product&amp;q=multimeter%20uni-t%20ut33d%2B</t>
  </si>
  <si>
    <t>Habis pakai / alat bantu pengujian purwarupa</t>
  </si>
  <si>
    <t>Keterangan:</t>
  </si>
  <si>
    <t>Sel harga satuan jingga = harga ESTIMASI (ganti dengan harga nota). Sel biru muda = barang milik tim dengan harga referensi pasar.</t>
  </si>
  <si>
    <t>Nilai pada kolom Kategori, Satuan, Prioritas dan Sifat Barang disesuaikan dengan pilihan dropdown di formulir panitia bila berbeda.</t>
  </si>
  <si>
    <t>Kode di panel</t>
  </si>
  <si>
    <t>Nama Barang</t>
  </si>
  <si>
    <t>Jumlah</t>
  </si>
  <si>
    <t>Satuan</t>
  </si>
  <si>
    <t>Harga Satuan (Rp)</t>
  </si>
  <si>
    <t>Total (Rp)</t>
  </si>
  <si>
    <t>Sumber harga</t>
  </si>
  <si>
    <t>Status barang</t>
  </si>
  <si>
    <t>Bukti foto di repo (folder Gambar/)</t>
  </si>
  <si>
    <t>Catatan</t>
  </si>
  <si>
    <t>P1</t>
  </si>
  <si>
    <t>Nota</t>
  </si>
  <si>
    <t>Diterima</t>
  </si>
  <si>
    <t>Gambar/ (8–9 Okt), IMG_20261013_225503</t>
  </si>
  <si>
    <t>A4</t>
  </si>
  <si>
    <t>MVIMG_20261012_183011, MVIMG_20261012_183045</t>
  </si>
  <si>
    <t>Nota versi 1: Rp136.532 untuk 2 pcs (judul toko: MAX3485)</t>
  </si>
  <si>
    <t>A4'</t>
  </si>
  <si>
    <t>Estimasi</t>
  </si>
  <si>
    <t>MVIMG_20261013_123702, MVIMG_20261013_123725</t>
  </si>
  <si>
    <t>—</t>
  </si>
  <si>
    <t>Gambar/ (9 Okt)</t>
  </si>
  <si>
    <t>A1</t>
  </si>
  <si>
    <t>Referensi</t>
  </si>
  <si>
    <t>Milik sendiri</t>
  </si>
  <si>
    <t>IMG_20261018_224917</t>
  </si>
  <si>
    <t>Barang milik tim; harga mengikuti referensi pasar (contoh panitia Rp85.000)</t>
  </si>
  <si>
    <t>A1'</t>
  </si>
  <si>
    <t>A7</t>
  </si>
  <si>
    <t>IMG_20261015_143818, IMG_20261016_210926</t>
  </si>
  <si>
    <t>Harga dari screenshot toko (Rp4.658/pcs)</t>
  </si>
  <si>
    <t>A5</t>
  </si>
  <si>
    <t>IMG_20261018_224926</t>
  </si>
  <si>
    <t>A6</t>
  </si>
  <si>
    <t>A6'</t>
  </si>
  <si>
    <t>Barang milik tim; harga referensi pasar</t>
  </si>
  <si>
    <t>A3</t>
  </si>
  <si>
    <t>IMG_20261013_225444</t>
  </si>
  <si>
    <t>Harga mengikuti nota pembelian SSR pertama (Rp60.250); sesuaikan dengan nota modul high-level</t>
  </si>
  <si>
    <t>A3'</t>
  </si>
  <si>
    <t>Nota versi 1: Rp72.000 untuk 2 pcs</t>
  </si>
  <si>
    <t>A2</t>
  </si>
  <si>
    <t>IMG_20261013_225503</t>
  </si>
  <si>
    <t>G1</t>
  </si>
  <si>
    <t>MVIMG_20261013_175923, MVIMG_20261013_180124</t>
  </si>
  <si>
    <t>C1–C2</t>
  </si>
  <si>
    <t>Nota versi 1: Rp60.000 untuk 4 pcs</t>
  </si>
  <si>
    <t>C3</t>
  </si>
  <si>
    <t>Akan dibeli</t>
  </si>
  <si>
    <t>Kapasitor 4 µF bekas terukur hanya ±1 µF (rusak) pada uji 18 Okt</t>
  </si>
  <si>
    <t>R</t>
  </si>
  <si>
    <t>Nota versi 1: Rp10.000 untuk 10 pcs</t>
  </si>
  <si>
    <t>IMG_20261015_143827, IMG_20261016_211143</t>
  </si>
  <si>
    <t>Cek: sudah punya atau perlu dibeli</t>
  </si>
  <si>
    <t>Q1</t>
  </si>
  <si>
    <t>Q2</t>
  </si>
  <si>
    <t>F1–F4</t>
  </si>
  <si>
    <t>Nota versi 1: Rp80.000 untuk 4 pcs</t>
  </si>
  <si>
    <t>Nota versi 1: Rp40.000 untuk 10 pcs; pastikan ukuran 10×38 mm</t>
  </si>
  <si>
    <t>S0</t>
  </si>
  <si>
    <t>MVIMG_20261013_123550, MVIMG_20261013_123613</t>
  </si>
  <si>
    <t>H1–H3</t>
  </si>
  <si>
    <t>MVIMG_20261013_123631</t>
  </si>
  <si>
    <t>Nota versi 1: Rp21.000</t>
  </si>
  <si>
    <t>IMG_20261018_224839</t>
  </si>
  <si>
    <t>X1</t>
  </si>
  <si>
    <t>Nota versi 1: Rp35.000 (20 pcs)</t>
  </si>
  <si>
    <t>X1'</t>
  </si>
  <si>
    <t>IMG_20261018_224904</t>
  </si>
  <si>
    <t>IMG_20261018_224844</t>
  </si>
  <si>
    <t>IMG_20261018_224829</t>
  </si>
  <si>
    <t>IMG_20261016_211234</t>
  </si>
  <si>
    <t>IMG_20261016_211307</t>
  </si>
  <si>
    <t>Dalam pengiriman</t>
  </si>
  <si>
    <t>E1–E2</t>
  </si>
  <si>
    <t>IMG_20261013_222912, IMG_20261013_222951</t>
  </si>
  <si>
    <t>Nota versi 1: Rp140.000; cek apakah untuk 2 set</t>
  </si>
  <si>
    <t>S1–S2</t>
  </si>
  <si>
    <t>XS1–XS2</t>
  </si>
  <si>
    <t>1 unit milik sendiri</t>
  </si>
  <si>
    <t>IMG_20261018_224804</t>
  </si>
  <si>
    <t>Barang milik tim; berpotensi dinilai 'berfungsi mandiri' oleh panitia</t>
  </si>
  <si>
    <t>TOTAL</t>
  </si>
  <si>
    <t>Total harga dari nota (versi 1 / screenshot)</t>
  </si>
  <si>
    <t>Total harga estimasi (perlu dicek)</t>
  </si>
  <si>
    <t>Total barang milik sendiri (harga referensi pasar)</t>
  </si>
  <si>
    <t>Sumber harga: "Referensi" = barang milik tim, dinilai dengan harga pasar dari link toko; "Nota" = kolom Harga Beli pada Daftar Komponen version 1 (dibagi jumlah bila nota untuk beberapa pcs) atau screenshot toko; "Estimasi" = harga pasar perkiraan, wajib diganti dengan harga nota. Kolom hijau mengambil nilai dari sheet Template Tim.</t>
  </si>
  <si>
    <t>Barang</t>
  </si>
  <si>
    <t>Alasan tidak diajukan</t>
  </si>
  <si>
    <t>Keterangan</t>
  </si>
  <si>
    <t>Laptop (broker MQTT + dashboard)</t>
  </si>
  <si>
    <t>1 unit</t>
  </si>
  <si>
    <t>Barang modal / berfungsi mandiri</t>
  </si>
  <si>
    <t>Hi-Link HLK-5M05</t>
  </si>
  <si>
    <t>2 pcs (Rp58.500)</t>
  </si>
  <si>
    <t>Tidak dipakai — diganti PSU S-25-5 tertutup demi keselamatan</t>
  </si>
  <si>
    <t>Simpan sebagai cadangan</t>
  </si>
  <si>
    <t>Modul SSR 4 kanal low-level trigger</t>
  </si>
  <si>
    <t>1 pcs</t>
  </si>
  <si>
    <t>Salah beli (tidak kompatibel langsung dengan logika ESP32), diganti high-level</t>
  </si>
  <si>
    <t>Cadangan</t>
  </si>
  <si>
    <t>Kapasitor CBB60 4 µF bekas (2009)</t>
  </si>
  <si>
    <t>Rusak — terukur ±0,8–1,2 µF pada uji 18 Okt</t>
  </si>
  <si>
    <t>Diganti kapasitor baru (sudah masuk daftar)</t>
  </si>
  <si>
    <t>Motor induksi 1/4 HP, ballast BTA 36 W, halogen 300 W + rumah lampu, CBB60 8 µF</t>
  </si>
  <si>
    <t>Batal — skenario beban diganti lampu TL + kompresor kulkas</t>
  </si>
  <si>
    <t>Tidak dibeli</t>
  </si>
  <si>
    <t>Tang ampere UNI-T UT204+</t>
  </si>
  <si>
    <t>Alat ukur mandiri (barang modal)</t>
  </si>
  <si>
    <t>CARA MENYALIN KE FORMULIR PANITIA (Google Sheets, tab "Aku Anak Sehat")</t>
  </si>
  <si>
    <t>1. Cek dulu sel harga berwarna jingga di sheet Template Tim (harga estimasi) dan ganti dengan harga nota/toko.</t>
  </si>
  <si>
    <t>2. Di sheet Template Tim, blok sel B16 sampai M59 (Nama Tim s.d. Sifat Barang), lalu Copy.</t>
  </si>
  <si>
    <t xml:space="preserve">   Kolom J (Total Harga) ikut tersalin sebagai angka; bila formulir panitia mengisi kolom J otomatis, salin dua blok: B–I lalu K–M.</t>
  </si>
  <si>
    <t>3. Di formulir panitia, klik sel B16 lalu tempel sebagai NILAI SAJA: Ctrl+Shift+V (Paste values only) agar format dan dropdown panitia tidak rusak.</t>
  </si>
  <si>
    <t>4. Periksa kolom Kategori, Satuan, Prioritas dan Sifat Barang: bila muncul tanda segitiga merah (tidak sesuai dropdown), pilih ulang opsi terdekat dari dropdown.</t>
  </si>
  <si>
    <t>5. Pastikan Total Pengajuan di formulir panitia sama dengan Total Pengajuan di sheet ini (sel M5).</t>
  </si>
  <si>
    <t>6. Barang yang tidak diajukan beserta alasannya ada di sheet Tidak Diajukan; bukti foto tiap barang ada di repo (folder Gambar/), lihat sheet Rincian &amp; Bukti.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</si>
</sst>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p&quot;#,##0;&quot;(Rp&quot;#,##0\);\-"/>
    <numFmt numFmtId="165" formatCode="#,##0;\(#,##0\);&quot;&quot;"/>
  </numFmts>
  <fonts count="13" x14ac:knownFonts="1">
    <font>
      <sz val="11"/>
      <color theme="1"/>
      <name val="Calibri"/>
      <family val="2"/>
      <charset val="1"/>
    </font>
    <font>
      <b/>
      <sz val="13"/>
      <color rgb="FF1F3864"/>
      <name val="Arial"/>
      <charset val="1"/>
    </font>
    <font>
      <i/>
      <sz val="9"/>
      <color rgb="FF595959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i/>
      <sz val="8"/>
      <color rgb="FFC00000"/>
      <name val="Arial"/>
      <charset val="1"/>
    </font>
    <font>
      <b/>
      <sz val="9"/>
      <color rgb="FFFFFFFF"/>
      <name val="Arial"/>
      <charset val="1"/>
    </font>
    <font>
      <b/>
      <sz val="8"/>
      <color rgb="FF000000"/>
      <name val="Arial"/>
      <charset val="1"/>
    </font>
    <font>
      <i/>
      <sz val="8"/>
      <color rgb="FF000000"/>
      <name val="Arial"/>
      <charset val="1"/>
    </font>
    <font>
      <sz val="10"/>
      <name val="Arial"/>
      <family val="2"/>
    </font>
    <font>
      <sz val="9"/>
      <color rgb="FF008000"/>
      <name val="Arial"/>
      <charset val="1"/>
    </font>
    <font>
      <b/>
      <sz val="10"/>
      <color rgb="FF000000"/>
      <name val="Arial"/>
      <charset val="1"/>
    </font>
    <font>
      <u/>
      <sz val="11"/>
      <color theme="1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D9E1F2"/>
        <bgColor rgb="FFDDEBF7"/>
      </patternFill>
    </fill>
    <fill>
      <patternFill patternType="solid">
        <fgColor rgb="FFFFF8DC"/>
        <bgColor rgb="FFFFFFFF"/>
      </patternFill>
    </fill>
    <fill>
      <patternFill patternType="solid">
        <fgColor rgb="FFE2EFDA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3C78D8"/>
        <bgColor rgb="FF0066CC"/>
      </patternFill>
    </fill>
    <fill>
      <patternFill patternType="solid">
        <fgColor rgb="FF38761D"/>
        <bgColor rgb="FF008000"/>
      </patternFill>
    </fill>
    <fill>
      <patternFill patternType="solid">
        <fgColor rgb="FFFFE699"/>
        <bgColor rgb="FFFFCC99"/>
      </patternFill>
    </fill>
    <fill>
      <patternFill patternType="solid">
        <fgColor rgb="FFDDEBF7"/>
        <bgColor rgb="FFD9E1F2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45">
    <xf numFmtId="0" fontId="0" fillId="0" borderId="0" xfId="0"/>
    <xf numFmtId="0" fontId="6" fillId="7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49" fontId="4" fillId="3" borderId="1" xfId="0" applyNumberFormat="1" applyFont="1" applyFill="1" applyBorder="1" applyAlignment="1">
      <alignment vertical="center" wrapText="1"/>
    </xf>
    <xf numFmtId="0" fontId="3" fillId="2" borderId="1" xfId="0" applyFont="1" applyFill="1" applyBorder="1"/>
    <xf numFmtId="0" fontId="4" fillId="3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1" fillId="0" borderId="0" xfId="0" applyFont="1"/>
    <xf numFmtId="0" fontId="2" fillId="0" borderId="0" xfId="0" applyFont="1"/>
    <xf numFmtId="0" fontId="4" fillId="3" borderId="1" xfId="0" applyFont="1" applyFill="1" applyBorder="1" applyAlignment="1">
      <alignment vertical="center" wrapText="1"/>
    </xf>
    <xf numFmtId="164" fontId="3" fillId="4" borderId="1" xfId="0" applyNumberFormat="1" applyFont="1" applyFill="1" applyBorder="1"/>
    <xf numFmtId="164" fontId="3" fillId="5" borderId="1" xfId="0" applyNumberFormat="1" applyFont="1" applyFill="1" applyBorder="1"/>
    <xf numFmtId="1" fontId="3" fillId="5" borderId="1" xfId="0" applyNumberFormat="1" applyFont="1" applyFill="1" applyBorder="1"/>
    <xf numFmtId="0" fontId="3" fillId="0" borderId="0" xfId="0" applyFont="1"/>
    <xf numFmtId="0" fontId="4" fillId="5" borderId="1" xfId="0" applyFont="1" applyFill="1" applyBorder="1"/>
    <xf numFmtId="0" fontId="5" fillId="0" borderId="0" xfId="0" applyFont="1"/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5" fontId="4" fillId="3" borderId="1" xfId="0" applyNumberFormat="1" applyFont="1" applyFill="1" applyBorder="1" applyAlignment="1">
      <alignment vertical="center" wrapText="1"/>
    </xf>
    <xf numFmtId="165" fontId="4" fillId="5" borderId="1" xfId="0" applyNumberFormat="1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165" fontId="4" fillId="4" borderId="1" xfId="0" applyNumberFormat="1" applyFont="1" applyFill="1" applyBorder="1" applyAlignment="1">
      <alignment vertical="center" wrapText="1"/>
    </xf>
    <xf numFmtId="165" fontId="4" fillId="8" borderId="1" xfId="0" applyNumberFormat="1" applyFont="1" applyFill="1" applyBorder="1" applyAlignment="1">
      <alignment vertical="center" wrapText="1"/>
    </xf>
    <xf numFmtId="165" fontId="4" fillId="9" borderId="1" xfId="0" applyNumberFormat="1" applyFont="1" applyFill="1" applyBorder="1" applyAlignment="1">
      <alignment vertical="center" wrapText="1"/>
    </xf>
    <xf numFmtId="0" fontId="7" fillId="0" borderId="0" xfId="0" applyFont="1"/>
    <xf numFmtId="0" fontId="8" fillId="0" borderId="0" xfId="0" applyFont="1"/>
    <xf numFmtId="0" fontId="4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3" fontId="10" fillId="0" borderId="1" xfId="0" applyNumberFormat="1" applyFont="1" applyBorder="1" applyAlignment="1">
      <alignment vertical="center" wrapText="1"/>
    </xf>
    <xf numFmtId="3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3" fontId="3" fillId="0" borderId="0" xfId="0" applyNumberFormat="1" applyFont="1"/>
    <xf numFmtId="0" fontId="4" fillId="0" borderId="0" xfId="0" applyFont="1"/>
    <xf numFmtId="3" fontId="4" fillId="0" borderId="0" xfId="0" applyNumberFormat="1" applyFont="1"/>
    <xf numFmtId="3" fontId="4" fillId="8" borderId="0" xfId="0" applyNumberFormat="1" applyFont="1" applyFill="1"/>
    <xf numFmtId="3" fontId="4" fillId="9" borderId="0" xfId="0" applyNumberFormat="1" applyFont="1" applyFill="1"/>
    <xf numFmtId="0" fontId="11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12" fillId="3" borderId="1" xfId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8D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E699"/>
      <rgbColor rgb="FF99CCFF"/>
      <rgbColor rgb="FFFF99CC"/>
      <rgbColor rgb="FFCC99FF"/>
      <rgbColor rgb="FFFFCC99"/>
      <rgbColor rgb="FF3C78D8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8761D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tokopedia.com/search?st=product&amp;q=i2c+logic+level+converter+bi-directional+5v+3.3v+4+channel" TargetMode="External"/><Relationship Id="rId1" Type="http://schemas.openxmlformats.org/officeDocument/2006/relationships/hyperlink" Target="https://www.tokopedia.com/sensorku-bekasi/esp32-esp-32-wroom-32-doit-devkit-v1-usb-c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69"/>
  <sheetViews>
    <sheetView tabSelected="1" zoomScale="90" zoomScaleNormal="90" workbookViewId="0">
      <pane xSplit="2" ySplit="15" topLeftCell="C53" activePane="bottomRight" state="frozen"/>
      <selection pane="topRight" activeCell="C1" sqref="C1"/>
      <selection pane="bottomLeft" activeCell="A16" sqref="A16"/>
      <selection pane="bottomRight" activeCell="C59" sqref="C59"/>
    </sheetView>
  </sheetViews>
  <sheetFormatPr defaultColWidth="8.6328125" defaultRowHeight="14.5" x14ac:dyDescent="0.35"/>
  <cols>
    <col min="1" max="1" width="5" customWidth="1"/>
    <col min="2" max="2" width="14" customWidth="1"/>
    <col min="3" max="3" width="26" customWidth="1"/>
    <col min="4" max="4" width="34" customWidth="1"/>
    <col min="5" max="5" width="20" customWidth="1"/>
    <col min="6" max="6" width="40" customWidth="1"/>
    <col min="7" max="7" width="8" customWidth="1"/>
    <col min="8" max="8" width="9" customWidth="1"/>
    <col min="9" max="9" width="13" customWidth="1"/>
    <col min="10" max="10" width="14" customWidth="1"/>
    <col min="11" max="11" width="34" customWidth="1"/>
    <col min="12" max="12" width="11" customWidth="1"/>
    <col min="13" max="13" width="26" customWidth="1"/>
    <col min="14" max="14" width="20" customWidth="1"/>
    <col min="15" max="15" width="13" customWidth="1"/>
    <col min="16" max="16" width="11" customWidth="1"/>
    <col min="17" max="17" width="14" customWidth="1"/>
    <col min="18" max="18" width="24" customWidth="1"/>
  </cols>
  <sheetData>
    <row r="1" spans="1:18" ht="16.5" x14ac:dyDescent="0.35">
      <c r="A1" s="7" t="s">
        <v>0</v>
      </c>
    </row>
    <row r="2" spans="1:18" x14ac:dyDescent="0.35">
      <c r="A2" s="8" t="s">
        <v>1</v>
      </c>
    </row>
    <row r="3" spans="1:18" ht="1" customHeight="1" x14ac:dyDescent="0.35"/>
    <row r="4" spans="1:18" ht="14.5" hidden="1" customHeight="1" x14ac:dyDescent="0.35">
      <c r="A4" s="6" t="s">
        <v>2</v>
      </c>
      <c r="B4" s="6"/>
      <c r="C4" s="5" t="s">
        <v>3</v>
      </c>
      <c r="D4" s="5"/>
      <c r="E4" s="5"/>
      <c r="F4" s="5"/>
      <c r="K4" s="4" t="s">
        <v>4</v>
      </c>
      <c r="L4" s="4"/>
      <c r="M4" s="10"/>
    </row>
    <row r="5" spans="1:18" ht="15.5" hidden="1" customHeight="1" x14ac:dyDescent="0.35">
      <c r="A5" s="6" t="s">
        <v>5</v>
      </c>
      <c r="B5" s="6"/>
      <c r="C5" s="5" t="s">
        <v>6</v>
      </c>
      <c r="D5" s="5"/>
      <c r="E5" s="5"/>
      <c r="F5" s="5"/>
      <c r="K5" s="4" t="s">
        <v>7</v>
      </c>
      <c r="L5" s="4"/>
      <c r="M5" s="11">
        <f>SUM(J16:J65)</f>
        <v>2552097</v>
      </c>
    </row>
    <row r="6" spans="1:18" ht="15.5" hidden="1" customHeight="1" x14ac:dyDescent="0.35">
      <c r="A6" s="6" t="s">
        <v>8</v>
      </c>
      <c r="B6" s="6"/>
      <c r="C6" s="3" t="s">
        <v>9</v>
      </c>
      <c r="D6" s="3"/>
      <c r="E6" s="3"/>
      <c r="F6" s="3"/>
      <c r="K6" s="4" t="s">
        <v>10</v>
      </c>
      <c r="L6" s="4"/>
      <c r="M6" s="11" t="str">
        <f>IF(M4="","",M4-M5)</f>
        <v/>
      </c>
    </row>
    <row r="7" spans="1:18" ht="9.5" hidden="1" customHeight="1" x14ac:dyDescent="0.35">
      <c r="A7" s="6" t="s">
        <v>11</v>
      </c>
      <c r="B7" s="6"/>
      <c r="C7" s="5" t="s">
        <v>12</v>
      </c>
      <c r="D7" s="5"/>
      <c r="E7" s="5"/>
      <c r="F7" s="5"/>
      <c r="K7" s="4" t="s">
        <v>13</v>
      </c>
      <c r="L7" s="4"/>
      <c r="M7" s="12">
        <f>COUNTA(C16:C65)</f>
        <v>44</v>
      </c>
    </row>
    <row r="8" spans="1:18" ht="27.5" hidden="1" customHeight="1" x14ac:dyDescent="0.35">
      <c r="A8" s="6" t="s">
        <v>14</v>
      </c>
      <c r="B8" s="6"/>
      <c r="C8" s="5" t="s">
        <v>15</v>
      </c>
      <c r="D8" s="5"/>
      <c r="E8" s="5"/>
      <c r="F8" s="5"/>
      <c r="K8" s="4" t="s">
        <v>16</v>
      </c>
      <c r="L8" s="4"/>
      <c r="M8" s="12">
        <f>COUNTIF(N16:N65,"Berpotensi*")</f>
        <v>0</v>
      </c>
    </row>
    <row r="9" spans="1:18" ht="15.5" hidden="1" customHeight="1" x14ac:dyDescent="0.35">
      <c r="A9" s="6" t="s">
        <v>17</v>
      </c>
      <c r="B9" s="6"/>
      <c r="C9" s="5" t="s">
        <v>18</v>
      </c>
      <c r="D9" s="5"/>
      <c r="E9" s="5"/>
      <c r="F9" s="5"/>
      <c r="K9" s="4" t="s">
        <v>19</v>
      </c>
      <c r="L9" s="4"/>
      <c r="M9" s="11">
        <f>SUM(Q16:Q65)</f>
        <v>0</v>
      </c>
    </row>
    <row r="10" spans="1:18" hidden="1" x14ac:dyDescent="0.35"/>
    <row r="11" spans="1:18" hidden="1" x14ac:dyDescent="0.35">
      <c r="K11" s="13" t="s">
        <v>20</v>
      </c>
      <c r="M11" s="14" t="str">
        <f>IF(M7=0,"Belum ada item","Siap diajukan")</f>
        <v>Siap diajukan</v>
      </c>
    </row>
    <row r="12" spans="1:18" hidden="1" x14ac:dyDescent="0.35">
      <c r="A12" s="15" t="s">
        <v>21</v>
      </c>
    </row>
    <row r="13" spans="1:18" hidden="1" x14ac:dyDescent="0.35"/>
    <row r="14" spans="1:18" ht="15" hidden="1" customHeight="1" x14ac:dyDescent="0.35">
      <c r="A14" s="2" t="s">
        <v>22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1" t="s">
        <v>23</v>
      </c>
      <c r="P14" s="1"/>
      <c r="Q14" s="1"/>
      <c r="R14" s="1"/>
    </row>
    <row r="15" spans="1:18" ht="31.5" customHeight="1" x14ac:dyDescent="0.35">
      <c r="A15" s="16" t="s">
        <v>24</v>
      </c>
      <c r="B15" s="16" t="s">
        <v>2</v>
      </c>
      <c r="C15" s="16" t="s">
        <v>25</v>
      </c>
      <c r="D15" s="16" t="s">
        <v>26</v>
      </c>
      <c r="E15" s="16" t="s">
        <v>27</v>
      </c>
      <c r="F15" s="16" t="s">
        <v>28</v>
      </c>
      <c r="G15" s="16" t="s">
        <v>29</v>
      </c>
      <c r="H15" s="16" t="s">
        <v>30</v>
      </c>
      <c r="I15" s="16" t="s">
        <v>31</v>
      </c>
      <c r="J15" s="16" t="s">
        <v>32</v>
      </c>
      <c r="K15" s="16" t="s">
        <v>33</v>
      </c>
      <c r="L15" s="16" t="s">
        <v>34</v>
      </c>
      <c r="M15" s="16" t="s">
        <v>35</v>
      </c>
      <c r="N15" s="16" t="s">
        <v>36</v>
      </c>
      <c r="O15" s="17" t="s">
        <v>37</v>
      </c>
      <c r="P15" s="17" t="s">
        <v>38</v>
      </c>
      <c r="Q15" s="17" t="s">
        <v>39</v>
      </c>
      <c r="R15" s="17" t="s">
        <v>40</v>
      </c>
    </row>
    <row r="16" spans="1:18" ht="39.75" customHeight="1" x14ac:dyDescent="0.35">
      <c r="A16" s="18">
        <f t="shared" ref="A16:A47" si="0">IF(C16="","",ROW()-15)</f>
        <v>1</v>
      </c>
      <c r="B16" s="9" t="s">
        <v>3</v>
      </c>
      <c r="C16" s="9" t="s">
        <v>41</v>
      </c>
      <c r="D16" s="9" t="s">
        <v>42</v>
      </c>
      <c r="E16" s="9" t="s">
        <v>43</v>
      </c>
      <c r="F16" s="9" t="s">
        <v>44</v>
      </c>
      <c r="G16" s="19">
        <v>1</v>
      </c>
      <c r="H16" s="19" t="s">
        <v>45</v>
      </c>
      <c r="I16" s="20">
        <v>329999</v>
      </c>
      <c r="J16" s="21">
        <f t="shared" ref="J16:J47" si="1">IF(OR(G16="",I16=""),"",G16*I16)</f>
        <v>329999</v>
      </c>
      <c r="K16" s="9" t="s">
        <v>46</v>
      </c>
      <c r="L16" s="19" t="s">
        <v>47</v>
      </c>
      <c r="M16" s="9" t="s">
        <v>48</v>
      </c>
      <c r="N16" s="22" t="str">
        <f t="shared" ref="N16:N47" si="2">IF(C16="","",IF(I16&gt;5000000,"Berpotensi barang modal","OK - barang habis pakai"))</f>
        <v>OK - barang habis pakai</v>
      </c>
      <c r="O16" s="23"/>
      <c r="P16" s="23"/>
      <c r="Q16" s="24" t="str">
        <f t="shared" ref="Q16:Q47" si="3">IF(OR(P16="",I16=""),"",P16*I16)</f>
        <v/>
      </c>
      <c r="R16" s="23"/>
    </row>
    <row r="17" spans="1:18" ht="39.75" customHeight="1" x14ac:dyDescent="0.35">
      <c r="A17" s="18">
        <f t="shared" si="0"/>
        <v>2</v>
      </c>
      <c r="B17" s="9" t="s">
        <v>3</v>
      </c>
      <c r="C17" s="9" t="s">
        <v>49</v>
      </c>
      <c r="D17" s="9" t="s">
        <v>50</v>
      </c>
      <c r="E17" s="9" t="s">
        <v>51</v>
      </c>
      <c r="F17" s="9" t="s">
        <v>52</v>
      </c>
      <c r="G17" s="19">
        <v>2</v>
      </c>
      <c r="H17" s="19" t="s">
        <v>53</v>
      </c>
      <c r="I17" s="20">
        <v>68266</v>
      </c>
      <c r="J17" s="21">
        <f t="shared" si="1"/>
        <v>136532</v>
      </c>
      <c r="K17" s="9" t="s">
        <v>54</v>
      </c>
      <c r="L17" s="19" t="s">
        <v>47</v>
      </c>
      <c r="M17" s="9" t="s">
        <v>48</v>
      </c>
      <c r="N17" s="22" t="str">
        <f t="shared" si="2"/>
        <v>OK - barang habis pakai</v>
      </c>
      <c r="O17" s="23"/>
      <c r="P17" s="23"/>
      <c r="Q17" s="24" t="str">
        <f t="shared" si="3"/>
        <v/>
      </c>
      <c r="R17" s="23"/>
    </row>
    <row r="18" spans="1:18" ht="39.75" customHeight="1" x14ac:dyDescent="0.35">
      <c r="A18" s="18">
        <f t="shared" si="0"/>
        <v>3</v>
      </c>
      <c r="B18" s="9" t="s">
        <v>3</v>
      </c>
      <c r="C18" s="9" t="s">
        <v>55</v>
      </c>
      <c r="D18" s="9" t="s">
        <v>56</v>
      </c>
      <c r="E18" s="9" t="s">
        <v>51</v>
      </c>
      <c r="F18" s="9" t="s">
        <v>57</v>
      </c>
      <c r="G18" s="19">
        <v>2</v>
      </c>
      <c r="H18" s="19" t="s">
        <v>53</v>
      </c>
      <c r="I18" s="25">
        <v>15000</v>
      </c>
      <c r="J18" s="21">
        <f t="shared" si="1"/>
        <v>30000</v>
      </c>
      <c r="K18" s="9" t="s">
        <v>58</v>
      </c>
      <c r="L18" s="19" t="s">
        <v>59</v>
      </c>
      <c r="M18" s="9" t="s">
        <v>60</v>
      </c>
      <c r="N18" s="22" t="str">
        <f t="shared" si="2"/>
        <v>OK - barang habis pakai</v>
      </c>
      <c r="O18" s="23"/>
      <c r="P18" s="23"/>
      <c r="Q18" s="24" t="str">
        <f t="shared" si="3"/>
        <v/>
      </c>
      <c r="R18" s="23"/>
    </row>
    <row r="19" spans="1:18" ht="39.75" customHeight="1" x14ac:dyDescent="0.35">
      <c r="A19" s="18">
        <f t="shared" si="0"/>
        <v>4</v>
      </c>
      <c r="B19" s="9" t="s">
        <v>3</v>
      </c>
      <c r="C19" s="9" t="s">
        <v>61</v>
      </c>
      <c r="D19" s="9" t="s">
        <v>62</v>
      </c>
      <c r="E19" s="9" t="s">
        <v>51</v>
      </c>
      <c r="F19" s="9" t="s">
        <v>63</v>
      </c>
      <c r="G19" s="19">
        <v>1</v>
      </c>
      <c r="H19" s="19" t="s">
        <v>53</v>
      </c>
      <c r="I19" s="20">
        <v>37000</v>
      </c>
      <c r="J19" s="21">
        <f t="shared" si="1"/>
        <v>37000</v>
      </c>
      <c r="K19" s="9" t="s">
        <v>64</v>
      </c>
      <c r="L19" s="19" t="s">
        <v>65</v>
      </c>
      <c r="M19" s="9" t="s">
        <v>66</v>
      </c>
      <c r="N19" s="22" t="str">
        <f t="shared" si="2"/>
        <v>OK - barang habis pakai</v>
      </c>
      <c r="O19" s="23"/>
      <c r="P19" s="23"/>
      <c r="Q19" s="24" t="str">
        <f t="shared" si="3"/>
        <v/>
      </c>
      <c r="R19" s="23"/>
    </row>
    <row r="20" spans="1:18" ht="39.75" customHeight="1" x14ac:dyDescent="0.35">
      <c r="A20" s="18">
        <f t="shared" si="0"/>
        <v>5</v>
      </c>
      <c r="B20" s="9" t="s">
        <v>3</v>
      </c>
      <c r="C20" s="9" t="s">
        <v>67</v>
      </c>
      <c r="D20" s="9" t="s">
        <v>68</v>
      </c>
      <c r="E20" s="9" t="s">
        <v>69</v>
      </c>
      <c r="F20" s="9" t="s">
        <v>70</v>
      </c>
      <c r="G20" s="19">
        <v>2</v>
      </c>
      <c r="H20" s="19" t="s">
        <v>45</v>
      </c>
      <c r="I20" s="26">
        <v>85000</v>
      </c>
      <c r="J20" s="21">
        <f t="shared" si="1"/>
        <v>170000</v>
      </c>
      <c r="K20" s="44" t="s">
        <v>71</v>
      </c>
      <c r="L20" s="19" t="s">
        <v>47</v>
      </c>
      <c r="M20" s="9" t="s">
        <v>48</v>
      </c>
      <c r="N20" s="22" t="str">
        <f t="shared" si="2"/>
        <v>OK - barang habis pakai</v>
      </c>
      <c r="O20" s="23"/>
      <c r="P20" s="23"/>
      <c r="Q20" s="24" t="str">
        <f t="shared" si="3"/>
        <v/>
      </c>
      <c r="R20" s="23"/>
    </row>
    <row r="21" spans="1:18" ht="39.75" customHeight="1" x14ac:dyDescent="0.35">
      <c r="A21" s="18">
        <f t="shared" si="0"/>
        <v>6</v>
      </c>
      <c r="B21" s="9" t="s">
        <v>3</v>
      </c>
      <c r="C21" s="9" t="s">
        <v>72</v>
      </c>
      <c r="D21" s="9" t="s">
        <v>73</v>
      </c>
      <c r="E21" s="9" t="s">
        <v>69</v>
      </c>
      <c r="F21" s="9" t="s">
        <v>74</v>
      </c>
      <c r="G21" s="19">
        <v>1</v>
      </c>
      <c r="H21" s="19" t="s">
        <v>53</v>
      </c>
      <c r="I21" s="25">
        <v>35000</v>
      </c>
      <c r="J21" s="21">
        <f t="shared" si="1"/>
        <v>35000</v>
      </c>
      <c r="K21" s="9" t="s">
        <v>75</v>
      </c>
      <c r="L21" s="19" t="s">
        <v>65</v>
      </c>
      <c r="M21" s="9" t="s">
        <v>48</v>
      </c>
      <c r="N21" s="22" t="str">
        <f t="shared" si="2"/>
        <v>OK - barang habis pakai</v>
      </c>
      <c r="O21" s="23"/>
      <c r="P21" s="23"/>
      <c r="Q21" s="24" t="str">
        <f t="shared" si="3"/>
        <v/>
      </c>
      <c r="R21" s="23"/>
    </row>
    <row r="22" spans="1:18" ht="39.75" customHeight="1" x14ac:dyDescent="0.35">
      <c r="A22" s="18">
        <f t="shared" si="0"/>
        <v>7</v>
      </c>
      <c r="B22" s="9" t="s">
        <v>3</v>
      </c>
      <c r="C22" s="9" t="s">
        <v>76</v>
      </c>
      <c r="D22" s="9" t="s">
        <v>77</v>
      </c>
      <c r="E22" s="9" t="s">
        <v>78</v>
      </c>
      <c r="F22" s="9" t="s">
        <v>79</v>
      </c>
      <c r="G22" s="19">
        <v>2</v>
      </c>
      <c r="H22" s="19" t="s">
        <v>53</v>
      </c>
      <c r="I22" s="20">
        <v>4658</v>
      </c>
      <c r="J22" s="21">
        <f t="shared" si="1"/>
        <v>9316</v>
      </c>
      <c r="K22" s="44" t="s">
        <v>80</v>
      </c>
      <c r="L22" s="19" t="s">
        <v>47</v>
      </c>
      <c r="M22" s="9" t="s">
        <v>48</v>
      </c>
      <c r="N22" s="22" t="str">
        <f t="shared" si="2"/>
        <v>OK - barang habis pakai</v>
      </c>
      <c r="O22" s="23"/>
      <c r="P22" s="23"/>
      <c r="Q22" s="24" t="str">
        <f t="shared" si="3"/>
        <v/>
      </c>
      <c r="R22" s="23"/>
    </row>
    <row r="23" spans="1:18" ht="39.75" customHeight="1" x14ac:dyDescent="0.35">
      <c r="A23" s="18">
        <f t="shared" si="0"/>
        <v>8</v>
      </c>
      <c r="B23" s="9" t="s">
        <v>3</v>
      </c>
      <c r="C23" s="9" t="s">
        <v>81</v>
      </c>
      <c r="D23" s="9" t="s">
        <v>82</v>
      </c>
      <c r="E23" s="9" t="s">
        <v>78</v>
      </c>
      <c r="F23" s="9" t="s">
        <v>83</v>
      </c>
      <c r="G23" s="19">
        <v>1</v>
      </c>
      <c r="H23" s="19" t="s">
        <v>53</v>
      </c>
      <c r="I23" s="25">
        <v>60000</v>
      </c>
      <c r="J23" s="21">
        <f t="shared" si="1"/>
        <v>60000</v>
      </c>
      <c r="K23" s="9" t="s">
        <v>84</v>
      </c>
      <c r="L23" s="19" t="s">
        <v>47</v>
      </c>
      <c r="M23" s="9" t="s">
        <v>48</v>
      </c>
      <c r="N23" s="22" t="str">
        <f t="shared" si="2"/>
        <v>OK - barang habis pakai</v>
      </c>
      <c r="O23" s="23"/>
      <c r="P23" s="23"/>
      <c r="Q23" s="24" t="str">
        <f t="shared" si="3"/>
        <v/>
      </c>
      <c r="R23" s="23"/>
    </row>
    <row r="24" spans="1:18" ht="39.75" customHeight="1" x14ac:dyDescent="0.35">
      <c r="A24" s="18">
        <f t="shared" si="0"/>
        <v>9</v>
      </c>
      <c r="B24" s="9" t="s">
        <v>3</v>
      </c>
      <c r="C24" s="9" t="s">
        <v>85</v>
      </c>
      <c r="D24" s="9" t="s">
        <v>86</v>
      </c>
      <c r="E24" s="9" t="s">
        <v>78</v>
      </c>
      <c r="F24" s="9" t="s">
        <v>87</v>
      </c>
      <c r="G24" s="19">
        <v>1</v>
      </c>
      <c r="H24" s="19" t="s">
        <v>53</v>
      </c>
      <c r="I24" s="20">
        <v>7500</v>
      </c>
      <c r="J24" s="21">
        <f t="shared" si="1"/>
        <v>7500</v>
      </c>
      <c r="K24" s="9" t="s">
        <v>88</v>
      </c>
      <c r="L24" s="19" t="s">
        <v>65</v>
      </c>
      <c r="M24" s="9" t="s">
        <v>48</v>
      </c>
      <c r="N24" s="22" t="str">
        <f t="shared" si="2"/>
        <v>OK - barang habis pakai</v>
      </c>
      <c r="O24" s="23"/>
      <c r="P24" s="23"/>
      <c r="Q24" s="24" t="str">
        <f t="shared" si="3"/>
        <v/>
      </c>
      <c r="R24" s="23"/>
    </row>
    <row r="25" spans="1:18" ht="39.75" customHeight="1" x14ac:dyDescent="0.35">
      <c r="A25" s="18">
        <f t="shared" si="0"/>
        <v>10</v>
      </c>
      <c r="B25" s="9" t="s">
        <v>3</v>
      </c>
      <c r="C25" s="9" t="s">
        <v>89</v>
      </c>
      <c r="D25" s="9" t="s">
        <v>90</v>
      </c>
      <c r="E25" s="9" t="s">
        <v>78</v>
      </c>
      <c r="F25" s="9" t="s">
        <v>91</v>
      </c>
      <c r="G25" s="19">
        <v>1</v>
      </c>
      <c r="H25" s="19" t="s">
        <v>53</v>
      </c>
      <c r="I25" s="26">
        <v>55000</v>
      </c>
      <c r="J25" s="21">
        <f t="shared" si="1"/>
        <v>55000</v>
      </c>
      <c r="K25" s="9" t="s">
        <v>92</v>
      </c>
      <c r="L25" s="19" t="s">
        <v>65</v>
      </c>
      <c r="M25" s="9" t="s">
        <v>48</v>
      </c>
      <c r="N25" s="22" t="str">
        <f t="shared" si="2"/>
        <v>OK - barang habis pakai</v>
      </c>
      <c r="O25" s="23"/>
      <c r="P25" s="23"/>
      <c r="Q25" s="24" t="str">
        <f t="shared" si="3"/>
        <v/>
      </c>
      <c r="R25" s="23"/>
    </row>
    <row r="26" spans="1:18" ht="39.75" customHeight="1" x14ac:dyDescent="0.35">
      <c r="A26" s="18">
        <f t="shared" si="0"/>
        <v>11</v>
      </c>
      <c r="B26" s="9" t="s">
        <v>3</v>
      </c>
      <c r="C26" s="9" t="s">
        <v>93</v>
      </c>
      <c r="D26" s="9" t="s">
        <v>94</v>
      </c>
      <c r="E26" s="9" t="s">
        <v>95</v>
      </c>
      <c r="F26" s="9" t="s">
        <v>96</v>
      </c>
      <c r="G26" s="19">
        <v>1</v>
      </c>
      <c r="H26" s="19" t="s">
        <v>53</v>
      </c>
      <c r="I26" s="25">
        <v>60250</v>
      </c>
      <c r="J26" s="21">
        <f t="shared" si="1"/>
        <v>60250</v>
      </c>
      <c r="K26" s="9" t="s">
        <v>97</v>
      </c>
      <c r="L26" s="19" t="s">
        <v>47</v>
      </c>
      <c r="M26" s="9" t="s">
        <v>48</v>
      </c>
      <c r="N26" s="22" t="str">
        <f t="shared" si="2"/>
        <v>OK - barang habis pakai</v>
      </c>
      <c r="O26" s="23"/>
      <c r="P26" s="23"/>
      <c r="Q26" s="24" t="str">
        <f t="shared" si="3"/>
        <v/>
      </c>
      <c r="R26" s="23"/>
    </row>
    <row r="27" spans="1:18" ht="39.75" customHeight="1" x14ac:dyDescent="0.35">
      <c r="A27" s="18">
        <f t="shared" si="0"/>
        <v>12</v>
      </c>
      <c r="B27" s="9" t="s">
        <v>3</v>
      </c>
      <c r="C27" s="9" t="s">
        <v>98</v>
      </c>
      <c r="D27" s="9" t="s">
        <v>99</v>
      </c>
      <c r="E27" s="9" t="s">
        <v>95</v>
      </c>
      <c r="F27" s="9" t="s">
        <v>100</v>
      </c>
      <c r="G27" s="19">
        <v>2</v>
      </c>
      <c r="H27" s="19" t="s">
        <v>53</v>
      </c>
      <c r="I27" s="20">
        <v>36000</v>
      </c>
      <c r="J27" s="21">
        <f t="shared" si="1"/>
        <v>72000</v>
      </c>
      <c r="K27" s="9" t="s">
        <v>101</v>
      </c>
      <c r="L27" s="19" t="s">
        <v>59</v>
      </c>
      <c r="M27" s="9" t="s">
        <v>60</v>
      </c>
      <c r="N27" s="22" t="str">
        <f t="shared" si="2"/>
        <v>OK - barang habis pakai</v>
      </c>
      <c r="O27" s="23"/>
      <c r="P27" s="23"/>
      <c r="Q27" s="24" t="str">
        <f t="shared" si="3"/>
        <v/>
      </c>
      <c r="R27" s="23"/>
    </row>
    <row r="28" spans="1:18" ht="39.75" customHeight="1" x14ac:dyDescent="0.35">
      <c r="A28" s="18">
        <f t="shared" si="0"/>
        <v>13</v>
      </c>
      <c r="B28" s="9" t="s">
        <v>3</v>
      </c>
      <c r="C28" s="9" t="s">
        <v>102</v>
      </c>
      <c r="D28" s="9" t="s">
        <v>103</v>
      </c>
      <c r="E28" s="9" t="s">
        <v>95</v>
      </c>
      <c r="F28" s="9" t="s">
        <v>104</v>
      </c>
      <c r="G28" s="19">
        <v>1</v>
      </c>
      <c r="H28" s="19" t="s">
        <v>53</v>
      </c>
      <c r="I28" s="20">
        <v>35500</v>
      </c>
      <c r="J28" s="21">
        <f t="shared" si="1"/>
        <v>35500</v>
      </c>
      <c r="K28" s="9" t="s">
        <v>105</v>
      </c>
      <c r="L28" s="19" t="s">
        <v>47</v>
      </c>
      <c r="M28" s="9" t="s">
        <v>48</v>
      </c>
      <c r="N28" s="22" t="str">
        <f t="shared" si="2"/>
        <v>OK - barang habis pakai</v>
      </c>
      <c r="O28" s="23"/>
      <c r="P28" s="23"/>
      <c r="Q28" s="24" t="str">
        <f t="shared" si="3"/>
        <v/>
      </c>
      <c r="R28" s="23"/>
    </row>
    <row r="29" spans="1:18" ht="39.75" customHeight="1" x14ac:dyDescent="0.35">
      <c r="A29" s="18">
        <f t="shared" si="0"/>
        <v>14</v>
      </c>
      <c r="B29" s="9" t="s">
        <v>3</v>
      </c>
      <c r="C29" s="9" t="s">
        <v>106</v>
      </c>
      <c r="D29" s="9" t="s">
        <v>107</v>
      </c>
      <c r="E29" s="9" t="s">
        <v>108</v>
      </c>
      <c r="F29" s="9" t="s">
        <v>109</v>
      </c>
      <c r="G29" s="19">
        <v>1</v>
      </c>
      <c r="H29" s="19" t="s">
        <v>53</v>
      </c>
      <c r="I29" s="20">
        <v>30000</v>
      </c>
      <c r="J29" s="21">
        <f t="shared" si="1"/>
        <v>30000</v>
      </c>
      <c r="K29" s="9" t="s">
        <v>110</v>
      </c>
      <c r="L29" s="19" t="s">
        <v>47</v>
      </c>
      <c r="M29" s="9" t="s">
        <v>48</v>
      </c>
      <c r="N29" s="22" t="str">
        <f t="shared" si="2"/>
        <v>OK - barang habis pakai</v>
      </c>
      <c r="O29" s="23"/>
      <c r="P29" s="23"/>
      <c r="Q29" s="24" t="str">
        <f t="shared" si="3"/>
        <v/>
      </c>
      <c r="R29" s="23"/>
    </row>
    <row r="30" spans="1:18" ht="39.75" customHeight="1" x14ac:dyDescent="0.35">
      <c r="A30" s="18">
        <f t="shared" si="0"/>
        <v>15</v>
      </c>
      <c r="B30" s="9" t="s">
        <v>3</v>
      </c>
      <c r="C30" s="9" t="s">
        <v>111</v>
      </c>
      <c r="D30" s="9" t="s">
        <v>112</v>
      </c>
      <c r="E30" s="9" t="s">
        <v>113</v>
      </c>
      <c r="F30" s="9" t="s">
        <v>114</v>
      </c>
      <c r="G30" s="19">
        <v>4</v>
      </c>
      <c r="H30" s="19" t="s">
        <v>53</v>
      </c>
      <c r="I30" s="20">
        <v>15000</v>
      </c>
      <c r="J30" s="21">
        <f t="shared" si="1"/>
        <v>60000</v>
      </c>
      <c r="K30" s="9" t="s">
        <v>115</v>
      </c>
      <c r="L30" s="19" t="s">
        <v>47</v>
      </c>
      <c r="M30" s="9" t="s">
        <v>48</v>
      </c>
      <c r="N30" s="22" t="str">
        <f t="shared" si="2"/>
        <v>OK - barang habis pakai</v>
      </c>
      <c r="O30" s="23"/>
      <c r="P30" s="23"/>
      <c r="Q30" s="24" t="str">
        <f t="shared" si="3"/>
        <v/>
      </c>
      <c r="R30" s="23"/>
    </row>
    <row r="31" spans="1:18" ht="39.75" customHeight="1" x14ac:dyDescent="0.35">
      <c r="A31" s="18">
        <f t="shared" si="0"/>
        <v>16</v>
      </c>
      <c r="B31" s="9" t="s">
        <v>3</v>
      </c>
      <c r="C31" s="9" t="s">
        <v>116</v>
      </c>
      <c r="D31" s="9" t="s">
        <v>117</v>
      </c>
      <c r="E31" s="9" t="s">
        <v>113</v>
      </c>
      <c r="F31" s="9" t="s">
        <v>118</v>
      </c>
      <c r="G31" s="19">
        <v>1</v>
      </c>
      <c r="H31" s="19" t="s">
        <v>53</v>
      </c>
      <c r="I31" s="25">
        <v>15000</v>
      </c>
      <c r="J31" s="21">
        <f t="shared" si="1"/>
        <v>15000</v>
      </c>
      <c r="K31" s="9" t="s">
        <v>119</v>
      </c>
      <c r="L31" s="19" t="s">
        <v>47</v>
      </c>
      <c r="M31" s="9" t="s">
        <v>48</v>
      </c>
      <c r="N31" s="22" t="str">
        <f t="shared" si="2"/>
        <v>OK - barang habis pakai</v>
      </c>
      <c r="O31" s="23"/>
      <c r="P31" s="23"/>
      <c r="Q31" s="24" t="str">
        <f t="shared" si="3"/>
        <v/>
      </c>
      <c r="R31" s="23"/>
    </row>
    <row r="32" spans="1:18" ht="39.75" customHeight="1" x14ac:dyDescent="0.35">
      <c r="A32" s="18">
        <f t="shared" si="0"/>
        <v>17</v>
      </c>
      <c r="B32" s="9" t="s">
        <v>3</v>
      </c>
      <c r="C32" s="9" t="s">
        <v>120</v>
      </c>
      <c r="D32" s="9" t="s">
        <v>121</v>
      </c>
      <c r="E32" s="9" t="s">
        <v>113</v>
      </c>
      <c r="F32" s="9" t="s">
        <v>122</v>
      </c>
      <c r="G32" s="19">
        <v>10</v>
      </c>
      <c r="H32" s="19" t="s">
        <v>53</v>
      </c>
      <c r="I32" s="20">
        <v>1000</v>
      </c>
      <c r="J32" s="21">
        <f t="shared" si="1"/>
        <v>10000</v>
      </c>
      <c r="K32" s="9" t="s">
        <v>123</v>
      </c>
      <c r="L32" s="19" t="s">
        <v>47</v>
      </c>
      <c r="M32" s="9" t="s">
        <v>48</v>
      </c>
      <c r="N32" s="22" t="str">
        <f t="shared" si="2"/>
        <v>OK - barang habis pakai</v>
      </c>
      <c r="O32" s="23"/>
      <c r="P32" s="23"/>
      <c r="Q32" s="24" t="str">
        <f t="shared" si="3"/>
        <v/>
      </c>
      <c r="R32" s="23"/>
    </row>
    <row r="33" spans="1:18" ht="39.75" customHeight="1" x14ac:dyDescent="0.35">
      <c r="A33" s="18">
        <f t="shared" si="0"/>
        <v>18</v>
      </c>
      <c r="B33" s="9" t="s">
        <v>3</v>
      </c>
      <c r="C33" s="9" t="s">
        <v>124</v>
      </c>
      <c r="D33" s="9" t="s">
        <v>125</v>
      </c>
      <c r="E33" s="9" t="s">
        <v>113</v>
      </c>
      <c r="F33" s="9" t="s">
        <v>126</v>
      </c>
      <c r="G33" s="19">
        <v>2</v>
      </c>
      <c r="H33" s="19" t="s">
        <v>53</v>
      </c>
      <c r="I33" s="25">
        <v>1500</v>
      </c>
      <c r="J33" s="21">
        <f t="shared" si="1"/>
        <v>3000</v>
      </c>
      <c r="K33" s="9" t="s">
        <v>127</v>
      </c>
      <c r="L33" s="19" t="s">
        <v>65</v>
      </c>
      <c r="M33" s="9" t="s">
        <v>48</v>
      </c>
      <c r="N33" s="22" t="str">
        <f t="shared" si="2"/>
        <v>OK - barang habis pakai</v>
      </c>
      <c r="O33" s="23"/>
      <c r="P33" s="23"/>
      <c r="Q33" s="24" t="str">
        <f t="shared" si="3"/>
        <v/>
      </c>
      <c r="R33" s="23"/>
    </row>
    <row r="34" spans="1:18" ht="39.75" customHeight="1" x14ac:dyDescent="0.35">
      <c r="A34" s="18">
        <f t="shared" si="0"/>
        <v>19</v>
      </c>
      <c r="B34" s="9" t="s">
        <v>3</v>
      </c>
      <c r="C34" s="9" t="s">
        <v>128</v>
      </c>
      <c r="D34" s="9" t="s">
        <v>129</v>
      </c>
      <c r="E34" s="9" t="s">
        <v>113</v>
      </c>
      <c r="F34" s="9" t="s">
        <v>130</v>
      </c>
      <c r="G34" s="19">
        <v>1</v>
      </c>
      <c r="H34" s="19" t="s">
        <v>53</v>
      </c>
      <c r="I34" s="25">
        <v>2000</v>
      </c>
      <c r="J34" s="21">
        <f t="shared" si="1"/>
        <v>2000</v>
      </c>
      <c r="K34" s="9" t="s">
        <v>131</v>
      </c>
      <c r="L34" s="19" t="s">
        <v>65</v>
      </c>
      <c r="M34" s="9" t="s">
        <v>48</v>
      </c>
      <c r="N34" s="22" t="str">
        <f t="shared" si="2"/>
        <v>OK - barang habis pakai</v>
      </c>
      <c r="O34" s="23"/>
      <c r="P34" s="23"/>
      <c r="Q34" s="24" t="str">
        <f t="shared" si="3"/>
        <v/>
      </c>
      <c r="R34" s="23"/>
    </row>
    <row r="35" spans="1:18" ht="39.75" customHeight="1" x14ac:dyDescent="0.35">
      <c r="A35" s="18">
        <f t="shared" si="0"/>
        <v>20</v>
      </c>
      <c r="B35" s="9" t="s">
        <v>3</v>
      </c>
      <c r="C35" s="9" t="s">
        <v>132</v>
      </c>
      <c r="D35" s="9" t="s">
        <v>133</v>
      </c>
      <c r="E35" s="9" t="s">
        <v>134</v>
      </c>
      <c r="F35" s="9" t="s">
        <v>135</v>
      </c>
      <c r="G35" s="19">
        <v>1</v>
      </c>
      <c r="H35" s="19" t="s">
        <v>53</v>
      </c>
      <c r="I35" s="20">
        <v>110000</v>
      </c>
      <c r="J35" s="21">
        <f t="shared" si="1"/>
        <v>110000</v>
      </c>
      <c r="K35" s="9" t="s">
        <v>136</v>
      </c>
      <c r="L35" s="19" t="s">
        <v>47</v>
      </c>
      <c r="M35" s="9" t="s">
        <v>48</v>
      </c>
      <c r="N35" s="22" t="str">
        <f t="shared" si="2"/>
        <v>OK - barang habis pakai</v>
      </c>
      <c r="O35" s="23"/>
      <c r="P35" s="23"/>
      <c r="Q35" s="24" t="str">
        <f t="shared" si="3"/>
        <v/>
      </c>
      <c r="R35" s="23"/>
    </row>
    <row r="36" spans="1:18" ht="39.75" customHeight="1" x14ac:dyDescent="0.35">
      <c r="A36" s="18">
        <f t="shared" si="0"/>
        <v>21</v>
      </c>
      <c r="B36" s="9" t="s">
        <v>3</v>
      </c>
      <c r="C36" s="9" t="s">
        <v>137</v>
      </c>
      <c r="D36" s="9" t="s">
        <v>138</v>
      </c>
      <c r="E36" s="9" t="s">
        <v>134</v>
      </c>
      <c r="F36" s="9" t="s">
        <v>139</v>
      </c>
      <c r="G36" s="19">
        <v>1</v>
      </c>
      <c r="H36" s="19" t="s">
        <v>53</v>
      </c>
      <c r="I36" s="25">
        <v>45000</v>
      </c>
      <c r="J36" s="21">
        <f t="shared" si="1"/>
        <v>45000</v>
      </c>
      <c r="K36" s="9" t="s">
        <v>140</v>
      </c>
      <c r="L36" s="19" t="s">
        <v>65</v>
      </c>
      <c r="M36" s="9" t="s">
        <v>48</v>
      </c>
      <c r="N36" s="22" t="str">
        <f t="shared" si="2"/>
        <v>OK - barang habis pakai</v>
      </c>
      <c r="O36" s="23"/>
      <c r="P36" s="23"/>
      <c r="Q36" s="24" t="str">
        <f t="shared" si="3"/>
        <v/>
      </c>
      <c r="R36" s="23"/>
    </row>
    <row r="37" spans="1:18" ht="39.75" customHeight="1" x14ac:dyDescent="0.35">
      <c r="A37" s="18">
        <f t="shared" si="0"/>
        <v>22</v>
      </c>
      <c r="B37" s="9" t="s">
        <v>3</v>
      </c>
      <c r="C37" s="9" t="s">
        <v>141</v>
      </c>
      <c r="D37" s="9" t="s">
        <v>142</v>
      </c>
      <c r="E37" s="9" t="s">
        <v>134</v>
      </c>
      <c r="F37" s="9" t="s">
        <v>143</v>
      </c>
      <c r="G37" s="19">
        <v>4</v>
      </c>
      <c r="H37" s="19" t="s">
        <v>53</v>
      </c>
      <c r="I37" s="20">
        <v>20000</v>
      </c>
      <c r="J37" s="21">
        <f t="shared" si="1"/>
        <v>80000</v>
      </c>
      <c r="K37" s="9" t="s">
        <v>144</v>
      </c>
      <c r="L37" s="19" t="s">
        <v>47</v>
      </c>
      <c r="M37" s="9" t="s">
        <v>48</v>
      </c>
      <c r="N37" s="22" t="str">
        <f t="shared" si="2"/>
        <v>OK - barang habis pakai</v>
      </c>
      <c r="O37" s="23"/>
      <c r="P37" s="23"/>
      <c r="Q37" s="24" t="str">
        <f t="shared" si="3"/>
        <v/>
      </c>
      <c r="R37" s="23"/>
    </row>
    <row r="38" spans="1:18" ht="39.75" customHeight="1" x14ac:dyDescent="0.35">
      <c r="A38" s="18">
        <f t="shared" si="0"/>
        <v>23</v>
      </c>
      <c r="B38" s="9" t="s">
        <v>3</v>
      </c>
      <c r="C38" s="9" t="s">
        <v>145</v>
      </c>
      <c r="D38" s="9" t="s">
        <v>146</v>
      </c>
      <c r="E38" s="9" t="s">
        <v>134</v>
      </c>
      <c r="F38" s="9" t="s">
        <v>147</v>
      </c>
      <c r="G38" s="19">
        <v>10</v>
      </c>
      <c r="H38" s="19" t="s">
        <v>53</v>
      </c>
      <c r="I38" s="20">
        <v>4000</v>
      </c>
      <c r="J38" s="21">
        <f t="shared" si="1"/>
        <v>40000</v>
      </c>
      <c r="K38" s="9" t="s">
        <v>148</v>
      </c>
      <c r="L38" s="19" t="s">
        <v>47</v>
      </c>
      <c r="M38" s="9" t="s">
        <v>48</v>
      </c>
      <c r="N38" s="22" t="str">
        <f t="shared" si="2"/>
        <v>OK - barang habis pakai</v>
      </c>
      <c r="O38" s="23"/>
      <c r="P38" s="23"/>
      <c r="Q38" s="24" t="str">
        <f t="shared" si="3"/>
        <v/>
      </c>
      <c r="R38" s="23"/>
    </row>
    <row r="39" spans="1:18" ht="39.75" customHeight="1" x14ac:dyDescent="0.35">
      <c r="A39" s="18">
        <f t="shared" si="0"/>
        <v>24</v>
      </c>
      <c r="B39" s="9" t="s">
        <v>3</v>
      </c>
      <c r="C39" s="9" t="s">
        <v>149</v>
      </c>
      <c r="D39" s="9" t="s">
        <v>150</v>
      </c>
      <c r="E39" s="9" t="s">
        <v>134</v>
      </c>
      <c r="F39" s="9" t="s">
        <v>151</v>
      </c>
      <c r="G39" s="19">
        <v>1</v>
      </c>
      <c r="H39" s="19" t="s">
        <v>53</v>
      </c>
      <c r="I39" s="20">
        <v>20000</v>
      </c>
      <c r="J39" s="21">
        <f t="shared" si="1"/>
        <v>20000</v>
      </c>
      <c r="K39" s="9" t="s">
        <v>152</v>
      </c>
      <c r="L39" s="19" t="s">
        <v>47</v>
      </c>
      <c r="M39" s="9" t="s">
        <v>48</v>
      </c>
      <c r="N39" s="22" t="str">
        <f t="shared" si="2"/>
        <v>OK - barang habis pakai</v>
      </c>
      <c r="O39" s="23"/>
      <c r="P39" s="23"/>
      <c r="Q39" s="24" t="str">
        <f t="shared" si="3"/>
        <v/>
      </c>
      <c r="R39" s="23"/>
    </row>
    <row r="40" spans="1:18" ht="39.75" customHeight="1" x14ac:dyDescent="0.35">
      <c r="A40" s="18">
        <f t="shared" si="0"/>
        <v>25</v>
      </c>
      <c r="B40" s="9" t="s">
        <v>3</v>
      </c>
      <c r="C40" s="9" t="s">
        <v>153</v>
      </c>
      <c r="D40" s="9" t="s">
        <v>154</v>
      </c>
      <c r="E40" s="9" t="s">
        <v>134</v>
      </c>
      <c r="F40" s="9" t="s">
        <v>155</v>
      </c>
      <c r="G40" s="19">
        <v>3</v>
      </c>
      <c r="H40" s="19" t="s">
        <v>53</v>
      </c>
      <c r="I40" s="20">
        <v>7000</v>
      </c>
      <c r="J40" s="21">
        <f t="shared" si="1"/>
        <v>21000</v>
      </c>
      <c r="K40" s="9" t="s">
        <v>156</v>
      </c>
      <c r="L40" s="19" t="s">
        <v>65</v>
      </c>
      <c r="M40" s="9" t="s">
        <v>48</v>
      </c>
      <c r="N40" s="22" t="str">
        <f t="shared" si="2"/>
        <v>OK - barang habis pakai</v>
      </c>
      <c r="O40" s="23"/>
      <c r="P40" s="23"/>
      <c r="Q40" s="24" t="str">
        <f t="shared" si="3"/>
        <v/>
      </c>
      <c r="R40" s="23"/>
    </row>
    <row r="41" spans="1:18" ht="39.75" customHeight="1" x14ac:dyDescent="0.35">
      <c r="A41" s="18">
        <f t="shared" si="0"/>
        <v>26</v>
      </c>
      <c r="B41" s="9" t="s">
        <v>3</v>
      </c>
      <c r="C41" s="9" t="s">
        <v>157</v>
      </c>
      <c r="D41" s="9" t="s">
        <v>158</v>
      </c>
      <c r="E41" s="9" t="s">
        <v>134</v>
      </c>
      <c r="F41" s="9" t="s">
        <v>159</v>
      </c>
      <c r="G41" s="19">
        <v>1</v>
      </c>
      <c r="H41" s="19" t="s">
        <v>45</v>
      </c>
      <c r="I41" s="20">
        <v>155000</v>
      </c>
      <c r="J41" s="21">
        <f t="shared" si="1"/>
        <v>155000</v>
      </c>
      <c r="K41" s="9" t="s">
        <v>160</v>
      </c>
      <c r="L41" s="19" t="s">
        <v>47</v>
      </c>
      <c r="M41" s="9" t="s">
        <v>48</v>
      </c>
      <c r="N41" s="22" t="str">
        <f t="shared" si="2"/>
        <v>OK - barang habis pakai</v>
      </c>
      <c r="O41" s="23"/>
      <c r="P41" s="23"/>
      <c r="Q41" s="24" t="str">
        <f t="shared" si="3"/>
        <v/>
      </c>
      <c r="R41" s="23"/>
    </row>
    <row r="42" spans="1:18" ht="39.75" customHeight="1" x14ac:dyDescent="0.35">
      <c r="A42" s="18">
        <f t="shared" si="0"/>
        <v>27</v>
      </c>
      <c r="B42" s="9" t="s">
        <v>3</v>
      </c>
      <c r="C42" s="9" t="s">
        <v>161</v>
      </c>
      <c r="D42" s="9" t="s">
        <v>162</v>
      </c>
      <c r="E42" s="9" t="s">
        <v>134</v>
      </c>
      <c r="F42" s="9" t="s">
        <v>163</v>
      </c>
      <c r="G42" s="19">
        <v>1</v>
      </c>
      <c r="H42" s="19" t="s">
        <v>164</v>
      </c>
      <c r="I42" s="20">
        <v>18000</v>
      </c>
      <c r="J42" s="21">
        <f t="shared" si="1"/>
        <v>18000</v>
      </c>
      <c r="K42" s="9" t="s">
        <v>165</v>
      </c>
      <c r="L42" s="19" t="s">
        <v>47</v>
      </c>
      <c r="M42" s="9" t="s">
        <v>48</v>
      </c>
      <c r="N42" s="22" t="str">
        <f t="shared" si="2"/>
        <v>OK - barang habis pakai</v>
      </c>
      <c r="O42" s="23"/>
      <c r="P42" s="23"/>
      <c r="Q42" s="24" t="str">
        <f t="shared" si="3"/>
        <v/>
      </c>
      <c r="R42" s="23"/>
    </row>
    <row r="43" spans="1:18" ht="39.75" customHeight="1" x14ac:dyDescent="0.35">
      <c r="A43" s="18">
        <f t="shared" si="0"/>
        <v>28</v>
      </c>
      <c r="B43" s="9" t="s">
        <v>3</v>
      </c>
      <c r="C43" s="9" t="s">
        <v>166</v>
      </c>
      <c r="D43" s="9" t="s">
        <v>167</v>
      </c>
      <c r="E43" s="9" t="s">
        <v>134</v>
      </c>
      <c r="F43" s="9" t="s">
        <v>168</v>
      </c>
      <c r="G43" s="19">
        <v>1</v>
      </c>
      <c r="H43" s="19" t="s">
        <v>169</v>
      </c>
      <c r="I43" s="20">
        <v>35000</v>
      </c>
      <c r="J43" s="21">
        <f t="shared" si="1"/>
        <v>35000</v>
      </c>
      <c r="K43" s="9" t="s">
        <v>170</v>
      </c>
      <c r="L43" s="19" t="s">
        <v>47</v>
      </c>
      <c r="M43" s="9" t="s">
        <v>48</v>
      </c>
      <c r="N43" s="22" t="str">
        <f t="shared" si="2"/>
        <v>OK - barang habis pakai</v>
      </c>
      <c r="O43" s="23"/>
      <c r="P43" s="23"/>
      <c r="Q43" s="24" t="str">
        <f t="shared" si="3"/>
        <v/>
      </c>
      <c r="R43" s="23"/>
    </row>
    <row r="44" spans="1:18" ht="39.75" customHeight="1" x14ac:dyDescent="0.35">
      <c r="A44" s="18">
        <f t="shared" si="0"/>
        <v>29</v>
      </c>
      <c r="B44" s="9" t="s">
        <v>3</v>
      </c>
      <c r="C44" s="9" t="s">
        <v>171</v>
      </c>
      <c r="D44" s="9" t="s">
        <v>172</v>
      </c>
      <c r="E44" s="9" t="s">
        <v>134</v>
      </c>
      <c r="F44" s="9" t="s">
        <v>173</v>
      </c>
      <c r="G44" s="19">
        <v>1</v>
      </c>
      <c r="H44" s="19" t="s">
        <v>53</v>
      </c>
      <c r="I44" s="25">
        <v>10000</v>
      </c>
      <c r="J44" s="21">
        <f t="shared" si="1"/>
        <v>10000</v>
      </c>
      <c r="K44" s="9" t="s">
        <v>174</v>
      </c>
      <c r="L44" s="19" t="s">
        <v>65</v>
      </c>
      <c r="M44" s="9" t="s">
        <v>48</v>
      </c>
      <c r="N44" s="22" t="str">
        <f t="shared" si="2"/>
        <v>OK - barang habis pakai</v>
      </c>
      <c r="O44" s="23"/>
      <c r="P44" s="23"/>
      <c r="Q44" s="24" t="str">
        <f t="shared" si="3"/>
        <v/>
      </c>
      <c r="R44" s="23"/>
    </row>
    <row r="45" spans="1:18" ht="39.75" customHeight="1" x14ac:dyDescent="0.35">
      <c r="A45" s="18">
        <f t="shared" si="0"/>
        <v>30</v>
      </c>
      <c r="B45" s="9" t="s">
        <v>3</v>
      </c>
      <c r="C45" s="9" t="s">
        <v>175</v>
      </c>
      <c r="D45" s="9" t="s">
        <v>176</v>
      </c>
      <c r="E45" s="9" t="s">
        <v>177</v>
      </c>
      <c r="F45" s="9" t="s">
        <v>178</v>
      </c>
      <c r="G45" s="19">
        <v>30</v>
      </c>
      <c r="H45" s="19" t="s">
        <v>179</v>
      </c>
      <c r="I45" s="25">
        <v>4000</v>
      </c>
      <c r="J45" s="21">
        <f t="shared" si="1"/>
        <v>120000</v>
      </c>
      <c r="K45" s="9" t="s">
        <v>180</v>
      </c>
      <c r="L45" s="19" t="s">
        <v>47</v>
      </c>
      <c r="M45" s="9" t="s">
        <v>181</v>
      </c>
      <c r="N45" s="22" t="str">
        <f t="shared" si="2"/>
        <v>OK - barang habis pakai</v>
      </c>
      <c r="O45" s="23"/>
      <c r="P45" s="23"/>
      <c r="Q45" s="24" t="str">
        <f t="shared" si="3"/>
        <v/>
      </c>
      <c r="R45" s="23"/>
    </row>
    <row r="46" spans="1:18" ht="39.75" customHeight="1" x14ac:dyDescent="0.35">
      <c r="A46" s="18">
        <f t="shared" si="0"/>
        <v>31</v>
      </c>
      <c r="B46" s="9" t="s">
        <v>3</v>
      </c>
      <c r="C46" s="9" t="s">
        <v>182</v>
      </c>
      <c r="D46" s="9" t="s">
        <v>183</v>
      </c>
      <c r="E46" s="9" t="s">
        <v>177</v>
      </c>
      <c r="F46" s="9" t="s">
        <v>184</v>
      </c>
      <c r="G46" s="19">
        <v>1</v>
      </c>
      <c r="H46" s="19" t="s">
        <v>169</v>
      </c>
      <c r="I46" s="25">
        <v>45000</v>
      </c>
      <c r="J46" s="21">
        <f t="shared" si="1"/>
        <v>45000</v>
      </c>
      <c r="K46" s="9" t="s">
        <v>185</v>
      </c>
      <c r="L46" s="19" t="s">
        <v>47</v>
      </c>
      <c r="M46" s="9" t="s">
        <v>181</v>
      </c>
      <c r="N46" s="22" t="str">
        <f t="shared" si="2"/>
        <v>OK - barang habis pakai</v>
      </c>
      <c r="O46" s="23"/>
      <c r="P46" s="23"/>
      <c r="Q46" s="24" t="str">
        <f t="shared" si="3"/>
        <v/>
      </c>
      <c r="R46" s="23"/>
    </row>
    <row r="47" spans="1:18" ht="39.75" customHeight="1" x14ac:dyDescent="0.35">
      <c r="A47" s="18">
        <f t="shared" si="0"/>
        <v>32</v>
      </c>
      <c r="B47" s="9" t="s">
        <v>3</v>
      </c>
      <c r="C47" s="9" t="s">
        <v>186</v>
      </c>
      <c r="D47" s="9" t="s">
        <v>187</v>
      </c>
      <c r="E47" s="9" t="s">
        <v>177</v>
      </c>
      <c r="F47" s="9" t="s">
        <v>188</v>
      </c>
      <c r="G47" s="19">
        <v>5</v>
      </c>
      <c r="H47" s="19" t="s">
        <v>179</v>
      </c>
      <c r="I47" s="25">
        <v>8000</v>
      </c>
      <c r="J47" s="21">
        <f t="shared" si="1"/>
        <v>40000</v>
      </c>
      <c r="K47" s="9" t="s">
        <v>189</v>
      </c>
      <c r="L47" s="19" t="s">
        <v>65</v>
      </c>
      <c r="M47" s="9" t="s">
        <v>181</v>
      </c>
      <c r="N47" s="22" t="str">
        <f t="shared" si="2"/>
        <v>OK - barang habis pakai</v>
      </c>
      <c r="O47" s="23"/>
      <c r="P47" s="23"/>
      <c r="Q47" s="24" t="str">
        <f t="shared" si="3"/>
        <v/>
      </c>
      <c r="R47" s="23"/>
    </row>
    <row r="48" spans="1:18" ht="39.75" customHeight="1" x14ac:dyDescent="0.35">
      <c r="A48" s="18">
        <f t="shared" ref="A48:A65" si="4">IF(C48="","",ROW()-15)</f>
        <v>33</v>
      </c>
      <c r="B48" s="9" t="s">
        <v>3</v>
      </c>
      <c r="C48" s="9" t="s">
        <v>190</v>
      </c>
      <c r="D48" s="9" t="s">
        <v>191</v>
      </c>
      <c r="E48" s="9" t="s">
        <v>177</v>
      </c>
      <c r="F48" s="9" t="s">
        <v>192</v>
      </c>
      <c r="G48" s="19">
        <v>1</v>
      </c>
      <c r="H48" s="19" t="s">
        <v>169</v>
      </c>
      <c r="I48" s="25">
        <v>15000</v>
      </c>
      <c r="J48" s="21">
        <f t="shared" ref="J48:J79" si="5">IF(OR(G48="",I48=""),"",G48*I48)</f>
        <v>15000</v>
      </c>
      <c r="K48" s="9" t="s">
        <v>193</v>
      </c>
      <c r="L48" s="19" t="s">
        <v>65</v>
      </c>
      <c r="M48" s="9" t="s">
        <v>181</v>
      </c>
      <c r="N48" s="22" t="str">
        <f t="shared" ref="N48:N65" si="6">IF(C48="","",IF(I48&gt;5000000,"Berpotensi barang modal","OK - barang habis pakai"))</f>
        <v>OK - barang habis pakai</v>
      </c>
      <c r="O48" s="23"/>
      <c r="P48" s="23"/>
      <c r="Q48" s="24" t="str">
        <f t="shared" ref="Q48:Q79" si="7">IF(OR(P48="",I48=""),"",P48*I48)</f>
        <v/>
      </c>
      <c r="R48" s="23"/>
    </row>
    <row r="49" spans="1:18" ht="39.75" customHeight="1" x14ac:dyDescent="0.35">
      <c r="A49" s="18">
        <f t="shared" si="4"/>
        <v>34</v>
      </c>
      <c r="B49" s="9" t="s">
        <v>3</v>
      </c>
      <c r="C49" s="9" t="s">
        <v>194</v>
      </c>
      <c r="D49" s="9" t="s">
        <v>195</v>
      </c>
      <c r="E49" s="9" t="s">
        <v>177</v>
      </c>
      <c r="F49" s="9" t="s">
        <v>196</v>
      </c>
      <c r="G49" s="19">
        <v>2</v>
      </c>
      <c r="H49" s="19" t="s">
        <v>179</v>
      </c>
      <c r="I49" s="26">
        <v>5000</v>
      </c>
      <c r="J49" s="21">
        <f t="shared" si="5"/>
        <v>10000</v>
      </c>
      <c r="K49" s="9" t="s">
        <v>197</v>
      </c>
      <c r="L49" s="19" t="s">
        <v>65</v>
      </c>
      <c r="M49" s="9" t="s">
        <v>181</v>
      </c>
      <c r="N49" s="22" t="str">
        <f t="shared" si="6"/>
        <v>OK - barang habis pakai</v>
      </c>
      <c r="O49" s="23"/>
      <c r="P49" s="23"/>
      <c r="Q49" s="24" t="str">
        <f t="shared" si="7"/>
        <v/>
      </c>
      <c r="R49" s="23"/>
    </row>
    <row r="50" spans="1:18" ht="39.75" customHeight="1" x14ac:dyDescent="0.35">
      <c r="A50" s="18">
        <f t="shared" si="4"/>
        <v>35</v>
      </c>
      <c r="B50" s="9" t="s">
        <v>3</v>
      </c>
      <c r="C50" s="9" t="s">
        <v>198</v>
      </c>
      <c r="D50" s="9" t="s">
        <v>199</v>
      </c>
      <c r="E50" s="9" t="s">
        <v>177</v>
      </c>
      <c r="F50" s="9" t="s">
        <v>200</v>
      </c>
      <c r="G50" s="19">
        <v>1</v>
      </c>
      <c r="H50" s="19" t="s">
        <v>201</v>
      </c>
      <c r="I50" s="25">
        <v>10000</v>
      </c>
      <c r="J50" s="21">
        <f t="shared" si="5"/>
        <v>10000</v>
      </c>
      <c r="K50" s="9" t="s">
        <v>202</v>
      </c>
      <c r="L50" s="19" t="s">
        <v>59</v>
      </c>
      <c r="M50" s="9" t="s">
        <v>181</v>
      </c>
      <c r="N50" s="22" t="str">
        <f t="shared" si="6"/>
        <v>OK - barang habis pakai</v>
      </c>
      <c r="O50" s="23"/>
      <c r="P50" s="23"/>
      <c r="Q50" s="24" t="str">
        <f t="shared" si="7"/>
        <v/>
      </c>
      <c r="R50" s="23"/>
    </row>
    <row r="51" spans="1:18" ht="39.75" customHeight="1" x14ac:dyDescent="0.35">
      <c r="A51" s="18">
        <f t="shared" si="4"/>
        <v>36</v>
      </c>
      <c r="B51" s="9" t="s">
        <v>3</v>
      </c>
      <c r="C51" s="9" t="s">
        <v>203</v>
      </c>
      <c r="D51" s="9" t="s">
        <v>204</v>
      </c>
      <c r="E51" s="9" t="s">
        <v>177</v>
      </c>
      <c r="F51" s="9" t="s">
        <v>205</v>
      </c>
      <c r="G51" s="19">
        <v>1</v>
      </c>
      <c r="H51" s="19" t="s">
        <v>169</v>
      </c>
      <c r="I51" s="25">
        <v>20000</v>
      </c>
      <c r="J51" s="21">
        <f t="shared" si="5"/>
        <v>20000</v>
      </c>
      <c r="K51" s="9" t="s">
        <v>206</v>
      </c>
      <c r="L51" s="19" t="s">
        <v>47</v>
      </c>
      <c r="M51" s="9" t="s">
        <v>181</v>
      </c>
      <c r="N51" s="22" t="str">
        <f t="shared" si="6"/>
        <v>OK - barang habis pakai</v>
      </c>
      <c r="O51" s="23"/>
      <c r="P51" s="23"/>
      <c r="Q51" s="24" t="str">
        <f t="shared" si="7"/>
        <v/>
      </c>
      <c r="R51" s="23"/>
    </row>
    <row r="52" spans="1:18" ht="39.75" customHeight="1" x14ac:dyDescent="0.35">
      <c r="A52" s="18">
        <f t="shared" si="4"/>
        <v>37</v>
      </c>
      <c r="B52" s="9" t="s">
        <v>3</v>
      </c>
      <c r="C52" s="9" t="s">
        <v>207</v>
      </c>
      <c r="D52" s="9" t="s">
        <v>208</v>
      </c>
      <c r="E52" s="9" t="s">
        <v>177</v>
      </c>
      <c r="F52" s="9" t="s">
        <v>209</v>
      </c>
      <c r="G52" s="19">
        <v>1</v>
      </c>
      <c r="H52" s="19" t="s">
        <v>210</v>
      </c>
      <c r="I52" s="25">
        <v>30000</v>
      </c>
      <c r="J52" s="21">
        <f t="shared" si="5"/>
        <v>30000</v>
      </c>
      <c r="K52" s="9" t="s">
        <v>211</v>
      </c>
      <c r="L52" s="19" t="s">
        <v>65</v>
      </c>
      <c r="M52" s="9" t="s">
        <v>181</v>
      </c>
      <c r="N52" s="22" t="str">
        <f t="shared" si="6"/>
        <v>OK - barang habis pakai</v>
      </c>
      <c r="O52" s="23"/>
      <c r="P52" s="23"/>
      <c r="Q52" s="24" t="str">
        <f t="shared" si="7"/>
        <v/>
      </c>
      <c r="R52" s="23"/>
    </row>
    <row r="53" spans="1:18" ht="39.75" customHeight="1" x14ac:dyDescent="0.35">
      <c r="A53" s="18">
        <f t="shared" si="4"/>
        <v>38</v>
      </c>
      <c r="B53" s="9" t="s">
        <v>3</v>
      </c>
      <c r="C53" s="9" t="s">
        <v>212</v>
      </c>
      <c r="D53" s="9" t="s">
        <v>213</v>
      </c>
      <c r="E53" s="9" t="s">
        <v>214</v>
      </c>
      <c r="F53" s="9" t="s">
        <v>215</v>
      </c>
      <c r="G53" s="19">
        <v>1</v>
      </c>
      <c r="H53" s="19" t="s">
        <v>53</v>
      </c>
      <c r="I53" s="25">
        <v>35000</v>
      </c>
      <c r="J53" s="21">
        <f t="shared" si="5"/>
        <v>35000</v>
      </c>
      <c r="K53" s="9" t="s">
        <v>216</v>
      </c>
      <c r="L53" s="19" t="s">
        <v>65</v>
      </c>
      <c r="M53" s="9" t="s">
        <v>181</v>
      </c>
      <c r="N53" s="22" t="str">
        <f t="shared" si="6"/>
        <v>OK - barang habis pakai</v>
      </c>
      <c r="O53" s="23"/>
      <c r="P53" s="23"/>
      <c r="Q53" s="24" t="str">
        <f t="shared" si="7"/>
        <v/>
      </c>
      <c r="R53" s="23"/>
    </row>
    <row r="54" spans="1:18" ht="39.75" customHeight="1" x14ac:dyDescent="0.35">
      <c r="A54" s="18">
        <f t="shared" si="4"/>
        <v>39</v>
      </c>
      <c r="B54" s="9" t="s">
        <v>3</v>
      </c>
      <c r="C54" s="9" t="s">
        <v>217</v>
      </c>
      <c r="D54" s="9" t="s">
        <v>218</v>
      </c>
      <c r="E54" s="9" t="s">
        <v>219</v>
      </c>
      <c r="F54" s="9" t="s">
        <v>220</v>
      </c>
      <c r="G54" s="19">
        <v>2</v>
      </c>
      <c r="H54" s="19" t="s">
        <v>169</v>
      </c>
      <c r="I54" s="20">
        <v>70000</v>
      </c>
      <c r="J54" s="21">
        <f t="shared" si="5"/>
        <v>140000</v>
      </c>
      <c r="K54" s="9" t="s">
        <v>221</v>
      </c>
      <c r="L54" s="19" t="s">
        <v>47</v>
      </c>
      <c r="M54" s="9" t="s">
        <v>48</v>
      </c>
      <c r="N54" s="22" t="str">
        <f t="shared" si="6"/>
        <v>OK - barang habis pakai</v>
      </c>
      <c r="O54" s="23"/>
      <c r="P54" s="23"/>
      <c r="Q54" s="24" t="str">
        <f t="shared" si="7"/>
        <v/>
      </c>
      <c r="R54" s="23"/>
    </row>
    <row r="55" spans="1:18" ht="39.75" customHeight="1" x14ac:dyDescent="0.35">
      <c r="A55" s="18">
        <f t="shared" si="4"/>
        <v>40</v>
      </c>
      <c r="B55" s="9" t="s">
        <v>3</v>
      </c>
      <c r="C55" s="9" t="s">
        <v>222</v>
      </c>
      <c r="D55" s="9" t="s">
        <v>223</v>
      </c>
      <c r="E55" s="9" t="s">
        <v>219</v>
      </c>
      <c r="F55" s="9" t="s">
        <v>224</v>
      </c>
      <c r="G55" s="19">
        <v>1</v>
      </c>
      <c r="H55" s="19" t="s">
        <v>53</v>
      </c>
      <c r="I55" s="25">
        <v>25000</v>
      </c>
      <c r="J55" s="21">
        <f t="shared" si="5"/>
        <v>25000</v>
      </c>
      <c r="K55" s="9" t="s">
        <v>225</v>
      </c>
      <c r="L55" s="19" t="s">
        <v>65</v>
      </c>
      <c r="M55" s="9" t="s">
        <v>48</v>
      </c>
      <c r="N55" s="22" t="str">
        <f t="shared" si="6"/>
        <v>OK - barang habis pakai</v>
      </c>
      <c r="O55" s="23"/>
      <c r="P55" s="23"/>
      <c r="Q55" s="24" t="str">
        <f t="shared" si="7"/>
        <v/>
      </c>
      <c r="R55" s="23"/>
    </row>
    <row r="56" spans="1:18" ht="39.75" customHeight="1" x14ac:dyDescent="0.35">
      <c r="A56" s="18">
        <f t="shared" si="4"/>
        <v>41</v>
      </c>
      <c r="B56" s="9" t="s">
        <v>3</v>
      </c>
      <c r="C56" s="9" t="s">
        <v>226</v>
      </c>
      <c r="D56" s="9" t="s">
        <v>227</v>
      </c>
      <c r="E56" s="9" t="s">
        <v>219</v>
      </c>
      <c r="F56" s="9" t="s">
        <v>228</v>
      </c>
      <c r="G56" s="19">
        <v>2</v>
      </c>
      <c r="H56" s="19" t="s">
        <v>53</v>
      </c>
      <c r="I56" s="25">
        <v>20000</v>
      </c>
      <c r="J56" s="21">
        <f t="shared" si="5"/>
        <v>40000</v>
      </c>
      <c r="K56" s="9" t="s">
        <v>229</v>
      </c>
      <c r="L56" s="19" t="s">
        <v>65</v>
      </c>
      <c r="M56" s="9" t="s">
        <v>48</v>
      </c>
      <c r="N56" s="22" t="str">
        <f t="shared" si="6"/>
        <v>OK - barang habis pakai</v>
      </c>
      <c r="O56" s="23"/>
      <c r="P56" s="23"/>
      <c r="Q56" s="24" t="str">
        <f t="shared" si="7"/>
        <v/>
      </c>
      <c r="R56" s="23"/>
    </row>
    <row r="57" spans="1:18" ht="39.75" customHeight="1" x14ac:dyDescent="0.35">
      <c r="A57" s="18">
        <f t="shared" si="4"/>
        <v>42</v>
      </c>
      <c r="B57" s="9" t="s">
        <v>3</v>
      </c>
      <c r="C57" s="9" t="s">
        <v>230</v>
      </c>
      <c r="D57" s="9" t="s">
        <v>231</v>
      </c>
      <c r="E57" s="9" t="s">
        <v>232</v>
      </c>
      <c r="F57" s="9" t="s">
        <v>233</v>
      </c>
      <c r="G57" s="19">
        <v>1</v>
      </c>
      <c r="H57" s="19" t="s">
        <v>201</v>
      </c>
      <c r="I57" s="25">
        <v>60000</v>
      </c>
      <c r="J57" s="21">
        <f t="shared" si="5"/>
        <v>60000</v>
      </c>
      <c r="K57" s="9" t="s">
        <v>234</v>
      </c>
      <c r="L57" s="19" t="s">
        <v>65</v>
      </c>
      <c r="M57" s="9" t="s">
        <v>181</v>
      </c>
      <c r="N57" s="22" t="str">
        <f t="shared" si="6"/>
        <v>OK - barang habis pakai</v>
      </c>
      <c r="O57" s="23"/>
      <c r="P57" s="23"/>
      <c r="Q57" s="24" t="str">
        <f t="shared" si="7"/>
        <v/>
      </c>
      <c r="R57" s="23"/>
    </row>
    <row r="58" spans="1:18" ht="39.75" customHeight="1" x14ac:dyDescent="0.35">
      <c r="A58" s="18">
        <f t="shared" si="4"/>
        <v>43</v>
      </c>
      <c r="B58" s="9" t="s">
        <v>3</v>
      </c>
      <c r="C58" s="9" t="s">
        <v>235</v>
      </c>
      <c r="D58" s="9" t="s">
        <v>236</v>
      </c>
      <c r="E58" s="9" t="s">
        <v>232</v>
      </c>
      <c r="F58" s="9" t="s">
        <v>237</v>
      </c>
      <c r="G58" s="19">
        <v>1</v>
      </c>
      <c r="H58" s="19" t="s">
        <v>169</v>
      </c>
      <c r="I58" s="25">
        <v>120000</v>
      </c>
      <c r="J58" s="21">
        <f t="shared" si="5"/>
        <v>120000</v>
      </c>
      <c r="K58" s="9" t="s">
        <v>238</v>
      </c>
      <c r="L58" s="19" t="s">
        <v>65</v>
      </c>
      <c r="M58" s="9" t="s">
        <v>181</v>
      </c>
      <c r="N58" s="22" t="str">
        <f t="shared" si="6"/>
        <v>OK - barang habis pakai</v>
      </c>
      <c r="O58" s="23"/>
      <c r="P58" s="23"/>
      <c r="Q58" s="24" t="str">
        <f t="shared" si="7"/>
        <v/>
      </c>
      <c r="R58" s="23"/>
    </row>
    <row r="59" spans="1:18" ht="39.75" customHeight="1" x14ac:dyDescent="0.35">
      <c r="A59" s="18">
        <f t="shared" si="4"/>
        <v>44</v>
      </c>
      <c r="B59" s="9" t="s">
        <v>3</v>
      </c>
      <c r="C59" s="9" t="s">
        <v>239</v>
      </c>
      <c r="D59" s="9" t="s">
        <v>240</v>
      </c>
      <c r="E59" s="9" t="s">
        <v>214</v>
      </c>
      <c r="F59" s="9" t="s">
        <v>241</v>
      </c>
      <c r="G59" s="19">
        <v>1</v>
      </c>
      <c r="H59" s="19" t="s">
        <v>45</v>
      </c>
      <c r="I59" s="26">
        <v>150000</v>
      </c>
      <c r="J59" s="21">
        <f t="shared" si="5"/>
        <v>150000</v>
      </c>
      <c r="K59" s="9" t="s">
        <v>242</v>
      </c>
      <c r="L59" s="19" t="s">
        <v>59</v>
      </c>
      <c r="M59" s="9" t="s">
        <v>243</v>
      </c>
      <c r="N59" s="22" t="str">
        <f t="shared" si="6"/>
        <v>OK - barang habis pakai</v>
      </c>
      <c r="O59" s="23"/>
      <c r="P59" s="23"/>
      <c r="Q59" s="24" t="str">
        <f t="shared" si="7"/>
        <v/>
      </c>
      <c r="R59" s="23"/>
    </row>
    <row r="60" spans="1:18" ht="15.75" customHeight="1" x14ac:dyDescent="0.35">
      <c r="A60" s="18" t="str">
        <f t="shared" si="4"/>
        <v/>
      </c>
      <c r="B60" s="9"/>
      <c r="C60" s="9"/>
      <c r="D60" s="9"/>
      <c r="E60" s="9"/>
      <c r="F60" s="9"/>
      <c r="G60" s="19"/>
      <c r="H60" s="19"/>
      <c r="I60" s="20"/>
      <c r="J60" s="21" t="str">
        <f t="shared" si="5"/>
        <v/>
      </c>
      <c r="K60" s="9"/>
      <c r="L60" s="19"/>
      <c r="M60" s="9"/>
      <c r="N60" s="22" t="str">
        <f t="shared" si="6"/>
        <v/>
      </c>
      <c r="O60" s="23"/>
      <c r="P60" s="23"/>
      <c r="Q60" s="24" t="str">
        <f t="shared" si="7"/>
        <v/>
      </c>
      <c r="R60" s="23"/>
    </row>
    <row r="61" spans="1:18" ht="15.75" customHeight="1" x14ac:dyDescent="0.35">
      <c r="A61" s="18" t="str">
        <f t="shared" si="4"/>
        <v/>
      </c>
      <c r="B61" s="9"/>
      <c r="C61" s="9"/>
      <c r="D61" s="9"/>
      <c r="E61" s="9"/>
      <c r="F61" s="9"/>
      <c r="G61" s="19"/>
      <c r="H61" s="19"/>
      <c r="I61" s="20"/>
      <c r="J61" s="21" t="str">
        <f t="shared" si="5"/>
        <v/>
      </c>
      <c r="K61" s="9"/>
      <c r="L61" s="19"/>
      <c r="M61" s="9"/>
      <c r="N61" s="22" t="str">
        <f t="shared" si="6"/>
        <v/>
      </c>
      <c r="O61" s="23"/>
      <c r="P61" s="23"/>
      <c r="Q61" s="24" t="str">
        <f t="shared" si="7"/>
        <v/>
      </c>
      <c r="R61" s="23"/>
    </row>
    <row r="62" spans="1:18" ht="15.75" customHeight="1" x14ac:dyDescent="0.35">
      <c r="A62" s="18" t="str">
        <f t="shared" si="4"/>
        <v/>
      </c>
      <c r="B62" s="9"/>
      <c r="C62" s="9"/>
      <c r="D62" s="9"/>
      <c r="E62" s="9"/>
      <c r="F62" s="9"/>
      <c r="G62" s="19"/>
      <c r="H62" s="19"/>
      <c r="I62" s="20"/>
      <c r="J62" s="21" t="str">
        <f t="shared" si="5"/>
        <v/>
      </c>
      <c r="K62" s="9"/>
      <c r="L62" s="19"/>
      <c r="M62" s="9"/>
      <c r="N62" s="22" t="str">
        <f t="shared" si="6"/>
        <v/>
      </c>
      <c r="O62" s="23"/>
      <c r="P62" s="23"/>
      <c r="Q62" s="24" t="str">
        <f t="shared" si="7"/>
        <v/>
      </c>
      <c r="R62" s="23"/>
    </row>
    <row r="63" spans="1:18" ht="15.75" customHeight="1" x14ac:dyDescent="0.35">
      <c r="A63" s="18" t="str">
        <f t="shared" si="4"/>
        <v/>
      </c>
      <c r="B63" s="9"/>
      <c r="C63" s="9"/>
      <c r="D63" s="9"/>
      <c r="E63" s="9"/>
      <c r="F63" s="9"/>
      <c r="G63" s="19"/>
      <c r="H63" s="19"/>
      <c r="I63" s="20"/>
      <c r="J63" s="21" t="str">
        <f t="shared" si="5"/>
        <v/>
      </c>
      <c r="K63" s="9"/>
      <c r="L63" s="19"/>
      <c r="M63" s="9"/>
      <c r="N63" s="22" t="str">
        <f t="shared" si="6"/>
        <v/>
      </c>
      <c r="O63" s="23"/>
      <c r="P63" s="23"/>
      <c r="Q63" s="24" t="str">
        <f t="shared" si="7"/>
        <v/>
      </c>
      <c r="R63" s="23"/>
    </row>
    <row r="64" spans="1:18" ht="15.75" customHeight="1" x14ac:dyDescent="0.35">
      <c r="A64" s="18" t="str">
        <f t="shared" si="4"/>
        <v/>
      </c>
      <c r="B64" s="9"/>
      <c r="C64" s="9"/>
      <c r="D64" s="9"/>
      <c r="E64" s="9"/>
      <c r="F64" s="9"/>
      <c r="G64" s="19"/>
      <c r="H64" s="19"/>
      <c r="I64" s="20"/>
      <c r="J64" s="21" t="str">
        <f t="shared" si="5"/>
        <v/>
      </c>
      <c r="K64" s="9"/>
      <c r="L64" s="19"/>
      <c r="M64" s="9"/>
      <c r="N64" s="22" t="str">
        <f t="shared" si="6"/>
        <v/>
      </c>
      <c r="O64" s="23"/>
      <c r="P64" s="23"/>
      <c r="Q64" s="24" t="str">
        <f t="shared" si="7"/>
        <v/>
      </c>
      <c r="R64" s="23"/>
    </row>
    <row r="65" spans="1:18" ht="15.75" customHeight="1" x14ac:dyDescent="0.35">
      <c r="A65" s="18" t="str">
        <f t="shared" si="4"/>
        <v/>
      </c>
      <c r="B65" s="9"/>
      <c r="C65" s="9"/>
      <c r="D65" s="9"/>
      <c r="E65" s="9"/>
      <c r="F65" s="9"/>
      <c r="G65" s="19"/>
      <c r="H65" s="19"/>
      <c r="I65" s="20"/>
      <c r="J65" s="21" t="str">
        <f t="shared" si="5"/>
        <v/>
      </c>
      <c r="K65" s="9"/>
      <c r="L65" s="19"/>
      <c r="M65" s="9"/>
      <c r="N65" s="22" t="str">
        <f t="shared" si="6"/>
        <v/>
      </c>
      <c r="O65" s="23"/>
      <c r="P65" s="23"/>
      <c r="Q65" s="24" t="str">
        <f t="shared" si="7"/>
        <v/>
      </c>
      <c r="R65" s="23"/>
    </row>
    <row r="67" spans="1:18" x14ac:dyDescent="0.35">
      <c r="A67" s="27" t="s">
        <v>244</v>
      </c>
    </row>
    <row r="68" spans="1:18" x14ac:dyDescent="0.35">
      <c r="A68" s="28" t="s">
        <v>245</v>
      </c>
    </row>
    <row r="69" spans="1:18" x14ac:dyDescent="0.35">
      <c r="A69" s="28" t="s">
        <v>246</v>
      </c>
    </row>
  </sheetData>
  <mergeCells count="20">
    <mergeCell ref="A14:N14"/>
    <mergeCell ref="O14:R14"/>
    <mergeCell ref="A8:B8"/>
    <mergeCell ref="C8:F8"/>
    <mergeCell ref="K8:L8"/>
    <mergeCell ref="A9:B9"/>
    <mergeCell ref="C9:F9"/>
    <mergeCell ref="K9:L9"/>
    <mergeCell ref="A6:B6"/>
    <mergeCell ref="C6:F6"/>
    <mergeCell ref="K6:L6"/>
    <mergeCell ref="A7:B7"/>
    <mergeCell ref="C7:F7"/>
    <mergeCell ref="K7:L7"/>
    <mergeCell ref="A4:B4"/>
    <mergeCell ref="C4:F4"/>
    <mergeCell ref="K4:L4"/>
    <mergeCell ref="A5:B5"/>
    <mergeCell ref="C5:F5"/>
    <mergeCell ref="K5:L5"/>
  </mergeCells>
  <dataValidations count="2">
    <dataValidation type="list" allowBlank="1" sqref="L16:L65" xr:uid="{00000000-0002-0000-0000-000000000000}">
      <formula1>"Tinggi,Sedang,Rendah"</formula1>
      <formula2>0</formula2>
    </dataValidation>
    <dataValidation type="list" allowBlank="1" sqref="H16:H65" xr:uid="{00000000-0002-0000-0000-000001000000}">
      <formula1>"pcs,unit,set,meter,lembar,batang,paket"</formula1>
      <formula2>0</formula2>
    </dataValidation>
  </dataValidations>
  <hyperlinks>
    <hyperlink ref="K20" r:id="rId1" xr:uid="{6A8D8435-86E3-4AB0-A97F-3412D4365947}"/>
    <hyperlink ref="K22" r:id="rId2" xr:uid="{7049AA93-7EB3-425D-A0A3-40EADE51A835}"/>
  </hyperlinks>
  <pageMargins left="0.75" right="0.75" top="1" bottom="1" header="0.511811023622047" footer="0.511811023622047"/>
  <pageSetup paperSize="9" fitToHeight="0" orientation="landscape" horizontalDpi="300" verticalDpi="300"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5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8.6328125" defaultRowHeight="14.5" x14ac:dyDescent="0.35"/>
  <cols>
    <col min="1" max="1" width="5" customWidth="1"/>
    <col min="2" max="2" width="11" customWidth="1"/>
    <col min="3" max="3" width="30" customWidth="1"/>
    <col min="4" max="5" width="8" customWidth="1"/>
    <col min="6" max="7" width="14" customWidth="1"/>
    <col min="8" max="8" width="13" customWidth="1"/>
    <col min="9" max="9" width="15" customWidth="1"/>
    <col min="10" max="10" width="40" customWidth="1"/>
    <col min="11" max="11" width="46" customWidth="1"/>
  </cols>
  <sheetData>
    <row r="1" spans="1:11" ht="27.75" customHeight="1" x14ac:dyDescent="0.35">
      <c r="A1" s="16" t="s">
        <v>24</v>
      </c>
      <c r="B1" s="16" t="s">
        <v>247</v>
      </c>
      <c r="C1" s="16" t="s">
        <v>248</v>
      </c>
      <c r="D1" s="16" t="s">
        <v>249</v>
      </c>
      <c r="E1" s="16" t="s">
        <v>250</v>
      </c>
      <c r="F1" s="16" t="s">
        <v>251</v>
      </c>
      <c r="G1" s="16" t="s">
        <v>252</v>
      </c>
      <c r="H1" s="16" t="s">
        <v>253</v>
      </c>
      <c r="I1" s="16" t="s">
        <v>254</v>
      </c>
      <c r="J1" s="16" t="s">
        <v>255</v>
      </c>
      <c r="K1" s="16" t="s">
        <v>256</v>
      </c>
    </row>
    <row r="2" spans="1:11" x14ac:dyDescent="0.35">
      <c r="A2" s="29">
        <v>1</v>
      </c>
      <c r="B2" s="29" t="s">
        <v>257</v>
      </c>
      <c r="C2" s="30" t="str">
        <f>'Template Tim'!C16</f>
        <v>Meter energi 1 fasa Modbus</v>
      </c>
      <c r="D2" s="31">
        <f>'Template Tim'!G16</f>
        <v>1</v>
      </c>
      <c r="E2" s="31" t="str">
        <f>'Template Tim'!H16</f>
        <v>unit</v>
      </c>
      <c r="F2" s="32">
        <f>'Template Tim'!I16</f>
        <v>329999</v>
      </c>
      <c r="G2" s="33">
        <f t="shared" ref="G2:G45" si="0">D2*F2</f>
        <v>329999</v>
      </c>
      <c r="H2" s="29" t="s">
        <v>258</v>
      </c>
      <c r="I2" s="29" t="s">
        <v>259</v>
      </c>
      <c r="J2" s="34" t="s">
        <v>260</v>
      </c>
      <c r="K2" s="34"/>
    </row>
    <row r="3" spans="1:11" ht="23" x14ac:dyDescent="0.35">
      <c r="A3" s="29">
        <v>2</v>
      </c>
      <c r="B3" s="29" t="s">
        <v>261</v>
      </c>
      <c r="C3" s="30" t="str">
        <f>'Template Tim'!C17</f>
        <v>Modul TTL–RS485 auto-direction</v>
      </c>
      <c r="D3" s="31">
        <f>'Template Tim'!G17</f>
        <v>2</v>
      </c>
      <c r="E3" s="31" t="str">
        <f>'Template Tim'!H17</f>
        <v>pcs</v>
      </c>
      <c r="F3" s="32">
        <f>'Template Tim'!I17</f>
        <v>68266</v>
      </c>
      <c r="G3" s="33">
        <f t="shared" si="0"/>
        <v>136532</v>
      </c>
      <c r="H3" s="29" t="s">
        <v>258</v>
      </c>
      <c r="I3" s="29" t="s">
        <v>259</v>
      </c>
      <c r="J3" s="34" t="s">
        <v>262</v>
      </c>
      <c r="K3" s="34" t="s">
        <v>263</v>
      </c>
    </row>
    <row r="4" spans="1:11" ht="23" x14ac:dyDescent="0.35">
      <c r="A4" s="29">
        <v>3</v>
      </c>
      <c r="B4" s="29" t="s">
        <v>264</v>
      </c>
      <c r="C4" s="30" t="str">
        <f>'Template Tim'!C18</f>
        <v>Modul TTL–RS485 HW-0519</v>
      </c>
      <c r="D4" s="31">
        <f>'Template Tim'!G18</f>
        <v>2</v>
      </c>
      <c r="E4" s="31" t="str">
        <f>'Template Tim'!H18</f>
        <v>pcs</v>
      </c>
      <c r="F4" s="32">
        <f>'Template Tim'!I18</f>
        <v>15000</v>
      </c>
      <c r="G4" s="33">
        <f t="shared" si="0"/>
        <v>30000</v>
      </c>
      <c r="H4" s="35" t="s">
        <v>265</v>
      </c>
      <c r="I4" s="29" t="s">
        <v>259</v>
      </c>
      <c r="J4" s="34" t="s">
        <v>266</v>
      </c>
      <c r="K4" s="34"/>
    </row>
    <row r="5" spans="1:11" x14ac:dyDescent="0.35">
      <c r="A5" s="29">
        <v>4</v>
      </c>
      <c r="B5" s="29" t="s">
        <v>267</v>
      </c>
      <c r="C5" s="30" t="str">
        <f>'Template Tim'!C19</f>
        <v>Adaptor USB–RS485</v>
      </c>
      <c r="D5" s="31">
        <f>'Template Tim'!G19</f>
        <v>1</v>
      </c>
      <c r="E5" s="31" t="str">
        <f>'Template Tim'!H19</f>
        <v>pcs</v>
      </c>
      <c r="F5" s="32">
        <f>'Template Tim'!I19</f>
        <v>37000</v>
      </c>
      <c r="G5" s="33">
        <f t="shared" si="0"/>
        <v>37000</v>
      </c>
      <c r="H5" s="29" t="s">
        <v>258</v>
      </c>
      <c r="I5" s="29" t="s">
        <v>259</v>
      </c>
      <c r="J5" s="34" t="s">
        <v>268</v>
      </c>
      <c r="K5" s="34"/>
    </row>
    <row r="6" spans="1:11" ht="23" x14ac:dyDescent="0.35">
      <c r="A6" s="29">
        <v>5</v>
      </c>
      <c r="B6" s="29" t="s">
        <v>269</v>
      </c>
      <c r="C6" s="30" t="str">
        <f>'Template Tim'!C20</f>
        <v>Mikrokontroler ESP32 (edge controller)</v>
      </c>
      <c r="D6" s="31">
        <f>'Template Tim'!G20</f>
        <v>2</v>
      </c>
      <c r="E6" s="31" t="str">
        <f>'Template Tim'!H20</f>
        <v>unit</v>
      </c>
      <c r="F6" s="32">
        <f>'Template Tim'!I20</f>
        <v>85000</v>
      </c>
      <c r="G6" s="33">
        <f t="shared" si="0"/>
        <v>170000</v>
      </c>
      <c r="H6" s="36" t="s">
        <v>270</v>
      </c>
      <c r="I6" s="29" t="s">
        <v>271</v>
      </c>
      <c r="J6" s="34" t="s">
        <v>272</v>
      </c>
      <c r="K6" s="34" t="s">
        <v>273</v>
      </c>
    </row>
    <row r="7" spans="1:11" x14ac:dyDescent="0.35">
      <c r="A7" s="29">
        <v>6</v>
      </c>
      <c r="B7" s="29" t="s">
        <v>274</v>
      </c>
      <c r="C7" s="30" t="str">
        <f>'Template Tim'!C21</f>
        <v>Shield / expansion board ESP32</v>
      </c>
      <c r="D7" s="31">
        <f>'Template Tim'!G21</f>
        <v>1</v>
      </c>
      <c r="E7" s="31" t="str">
        <f>'Template Tim'!H21</f>
        <v>pcs</v>
      </c>
      <c r="F7" s="32">
        <f>'Template Tim'!I21</f>
        <v>35000</v>
      </c>
      <c r="G7" s="33">
        <f t="shared" si="0"/>
        <v>35000</v>
      </c>
      <c r="H7" s="35" t="s">
        <v>265</v>
      </c>
      <c r="I7" s="29" t="s">
        <v>259</v>
      </c>
      <c r="J7" s="34" t="s">
        <v>272</v>
      </c>
      <c r="K7" s="34"/>
    </row>
    <row r="8" spans="1:11" x14ac:dyDescent="0.35">
      <c r="A8" s="29">
        <v>7</v>
      </c>
      <c r="B8" s="29" t="s">
        <v>275</v>
      </c>
      <c r="C8" s="30" t="str">
        <f>'Template Tim'!C22</f>
        <v>Level shifter dua arah 4 kanal</v>
      </c>
      <c r="D8" s="31">
        <f>'Template Tim'!G22</f>
        <v>2</v>
      </c>
      <c r="E8" s="31" t="str">
        <f>'Template Tim'!H22</f>
        <v>pcs</v>
      </c>
      <c r="F8" s="32">
        <f>'Template Tim'!I22</f>
        <v>4658</v>
      </c>
      <c r="G8" s="33">
        <f t="shared" si="0"/>
        <v>9316</v>
      </c>
      <c r="H8" s="29" t="s">
        <v>258</v>
      </c>
      <c r="I8" s="29" t="s">
        <v>259</v>
      </c>
      <c r="J8" s="34" t="s">
        <v>276</v>
      </c>
      <c r="K8" s="34" t="s">
        <v>277</v>
      </c>
    </row>
    <row r="9" spans="1:11" x14ac:dyDescent="0.35">
      <c r="A9" s="29">
        <v>8</v>
      </c>
      <c r="B9" s="29" t="s">
        <v>278</v>
      </c>
      <c r="C9" s="30" t="str">
        <f>'Template Tim'!C23</f>
        <v>LCD 20×4 + modul I²C</v>
      </c>
      <c r="D9" s="31">
        <f>'Template Tim'!G23</f>
        <v>1</v>
      </c>
      <c r="E9" s="31" t="str">
        <f>'Template Tim'!H23</f>
        <v>pcs</v>
      </c>
      <c r="F9" s="32">
        <f>'Template Tim'!I23</f>
        <v>60000</v>
      </c>
      <c r="G9" s="33">
        <f t="shared" si="0"/>
        <v>60000</v>
      </c>
      <c r="H9" s="35" t="s">
        <v>265</v>
      </c>
      <c r="I9" s="29" t="s">
        <v>259</v>
      </c>
      <c r="J9" s="34" t="s">
        <v>279</v>
      </c>
      <c r="K9" s="34"/>
    </row>
    <row r="10" spans="1:11" x14ac:dyDescent="0.35">
      <c r="A10" s="29">
        <v>9</v>
      </c>
      <c r="B10" s="29" t="s">
        <v>280</v>
      </c>
      <c r="C10" s="30" t="str">
        <f>'Template Tim'!C24</f>
        <v>Modul microSD SPI</v>
      </c>
      <c r="D10" s="31">
        <f>'Template Tim'!G24</f>
        <v>1</v>
      </c>
      <c r="E10" s="31" t="str">
        <f>'Template Tim'!H24</f>
        <v>pcs</v>
      </c>
      <c r="F10" s="32">
        <f>'Template Tim'!I24</f>
        <v>7500</v>
      </c>
      <c r="G10" s="33">
        <f t="shared" si="0"/>
        <v>7500</v>
      </c>
      <c r="H10" s="29" t="s">
        <v>258</v>
      </c>
      <c r="I10" s="29" t="s">
        <v>259</v>
      </c>
      <c r="J10" s="34" t="s">
        <v>272</v>
      </c>
      <c r="K10" s="34"/>
    </row>
    <row r="11" spans="1:11" x14ac:dyDescent="0.35">
      <c r="A11" s="29">
        <v>10</v>
      </c>
      <c r="B11" s="29" t="s">
        <v>281</v>
      </c>
      <c r="C11" s="30" t="str">
        <f>'Template Tim'!C25</f>
        <v>Kartu microSD</v>
      </c>
      <c r="D11" s="31">
        <f>'Template Tim'!G25</f>
        <v>1</v>
      </c>
      <c r="E11" s="31" t="str">
        <f>'Template Tim'!H25</f>
        <v>pcs</v>
      </c>
      <c r="F11" s="32">
        <f>'Template Tim'!I25</f>
        <v>55000</v>
      </c>
      <c r="G11" s="33">
        <f t="shared" si="0"/>
        <v>55000</v>
      </c>
      <c r="H11" s="36" t="s">
        <v>270</v>
      </c>
      <c r="I11" s="29" t="s">
        <v>271</v>
      </c>
      <c r="J11" s="34" t="s">
        <v>267</v>
      </c>
      <c r="K11" s="34" t="s">
        <v>282</v>
      </c>
    </row>
    <row r="12" spans="1:11" ht="23" x14ac:dyDescent="0.35">
      <c r="A12" s="29">
        <v>11</v>
      </c>
      <c r="B12" s="29" t="s">
        <v>283</v>
      </c>
      <c r="C12" s="30" t="str">
        <f>'Template Tim'!C26</f>
        <v>Modul SSR 4 kanal high-level trigger</v>
      </c>
      <c r="D12" s="31">
        <f>'Template Tim'!G26</f>
        <v>1</v>
      </c>
      <c r="E12" s="31" t="str">
        <f>'Template Tim'!H26</f>
        <v>pcs</v>
      </c>
      <c r="F12" s="32">
        <f>'Template Tim'!I26</f>
        <v>60250</v>
      </c>
      <c r="G12" s="33">
        <f t="shared" si="0"/>
        <v>60250</v>
      </c>
      <c r="H12" s="35" t="s">
        <v>265</v>
      </c>
      <c r="I12" s="29" t="s">
        <v>259</v>
      </c>
      <c r="J12" s="34" t="s">
        <v>284</v>
      </c>
      <c r="K12" s="34" t="s">
        <v>285</v>
      </c>
    </row>
    <row r="13" spans="1:11" x14ac:dyDescent="0.35">
      <c r="A13" s="29">
        <v>12</v>
      </c>
      <c r="B13" s="29" t="s">
        <v>286</v>
      </c>
      <c r="C13" s="30" t="str">
        <f>'Template Tim'!C27</f>
        <v>SSR satuan (cadangan)</v>
      </c>
      <c r="D13" s="31">
        <f>'Template Tim'!G27</f>
        <v>2</v>
      </c>
      <c r="E13" s="31" t="str">
        <f>'Template Tim'!H27</f>
        <v>pcs</v>
      </c>
      <c r="F13" s="32">
        <f>'Template Tim'!I27</f>
        <v>36000</v>
      </c>
      <c r="G13" s="33">
        <f t="shared" si="0"/>
        <v>72000</v>
      </c>
      <c r="H13" s="29" t="s">
        <v>258</v>
      </c>
      <c r="I13" s="29" t="s">
        <v>259</v>
      </c>
      <c r="J13" s="34" t="s">
        <v>268</v>
      </c>
      <c r="K13" s="34" t="s">
        <v>287</v>
      </c>
    </row>
    <row r="14" spans="1:11" x14ac:dyDescent="0.35">
      <c r="A14" s="29">
        <v>13</v>
      </c>
      <c r="B14" s="29" t="s">
        <v>288</v>
      </c>
      <c r="C14" s="30" t="str">
        <f>'Template Tim'!C28</f>
        <v>Modul relay 4 kanal 5 V</v>
      </c>
      <c r="D14" s="31">
        <f>'Template Tim'!G28</f>
        <v>1</v>
      </c>
      <c r="E14" s="31" t="str">
        <f>'Template Tim'!H28</f>
        <v>pcs</v>
      </c>
      <c r="F14" s="32">
        <f>'Template Tim'!I28</f>
        <v>35500</v>
      </c>
      <c r="G14" s="33">
        <f t="shared" si="0"/>
        <v>35500</v>
      </c>
      <c r="H14" s="29" t="s">
        <v>258</v>
      </c>
      <c r="I14" s="29" t="s">
        <v>259</v>
      </c>
      <c r="J14" s="34" t="s">
        <v>289</v>
      </c>
      <c r="K14" s="34"/>
    </row>
    <row r="15" spans="1:11" ht="23" x14ac:dyDescent="0.35">
      <c r="A15" s="29">
        <v>14</v>
      </c>
      <c r="B15" s="29" t="s">
        <v>290</v>
      </c>
      <c r="C15" s="30" t="str">
        <f>'Template Tim'!C29</f>
        <v>Power supply 5 V 5 A</v>
      </c>
      <c r="D15" s="31">
        <f>'Template Tim'!G29</f>
        <v>1</v>
      </c>
      <c r="E15" s="31" t="str">
        <f>'Template Tim'!H29</f>
        <v>pcs</v>
      </c>
      <c r="F15" s="32">
        <f>'Template Tim'!I29</f>
        <v>30000</v>
      </c>
      <c r="G15" s="33">
        <f t="shared" si="0"/>
        <v>30000</v>
      </c>
      <c r="H15" s="29" t="s">
        <v>258</v>
      </c>
      <c r="I15" s="29" t="s">
        <v>259</v>
      </c>
      <c r="J15" s="34" t="s">
        <v>291</v>
      </c>
      <c r="K15" s="34"/>
    </row>
    <row r="16" spans="1:11" x14ac:dyDescent="0.35">
      <c r="A16" s="29">
        <v>15</v>
      </c>
      <c r="B16" s="29" t="s">
        <v>292</v>
      </c>
      <c r="C16" s="30" t="str">
        <f>'Template Tim'!C30</f>
        <v>Kapasitor AC step 6 µF</v>
      </c>
      <c r="D16" s="31">
        <f>'Template Tim'!G30</f>
        <v>4</v>
      </c>
      <c r="E16" s="31" t="str">
        <f>'Template Tim'!H30</f>
        <v>pcs</v>
      </c>
      <c r="F16" s="32">
        <f>'Template Tim'!I30</f>
        <v>15000</v>
      </c>
      <c r="G16" s="33">
        <f t="shared" si="0"/>
        <v>60000</v>
      </c>
      <c r="H16" s="29" t="s">
        <v>258</v>
      </c>
      <c r="I16" s="29" t="s">
        <v>259</v>
      </c>
      <c r="J16" s="34" t="s">
        <v>268</v>
      </c>
      <c r="K16" s="34" t="s">
        <v>293</v>
      </c>
    </row>
    <row r="17" spans="1:11" ht="23" x14ac:dyDescent="0.35">
      <c r="A17" s="29">
        <v>16</v>
      </c>
      <c r="B17" s="29" t="s">
        <v>294</v>
      </c>
      <c r="C17" s="30" t="str">
        <f>'Template Tim'!C31</f>
        <v>Kapasitor AC step 4 µF</v>
      </c>
      <c r="D17" s="31">
        <f>'Template Tim'!G31</f>
        <v>1</v>
      </c>
      <c r="E17" s="31" t="str">
        <f>'Template Tim'!H31</f>
        <v>pcs</v>
      </c>
      <c r="F17" s="32">
        <f>'Template Tim'!I31</f>
        <v>15000</v>
      </c>
      <c r="G17" s="33">
        <f t="shared" si="0"/>
        <v>15000</v>
      </c>
      <c r="H17" s="35" t="s">
        <v>265</v>
      </c>
      <c r="I17" s="35" t="s">
        <v>295</v>
      </c>
      <c r="J17" s="34" t="s">
        <v>267</v>
      </c>
      <c r="K17" s="34" t="s">
        <v>296</v>
      </c>
    </row>
    <row r="18" spans="1:11" x14ac:dyDescent="0.35">
      <c r="A18" s="29">
        <v>17</v>
      </c>
      <c r="B18" s="29" t="s">
        <v>297</v>
      </c>
      <c r="C18" s="30" t="str">
        <f>'Template Tim'!C32</f>
        <v>Resistor pembuang muatan</v>
      </c>
      <c r="D18" s="31">
        <f>'Template Tim'!G32</f>
        <v>10</v>
      </c>
      <c r="E18" s="31" t="str">
        <f>'Template Tim'!H32</f>
        <v>pcs</v>
      </c>
      <c r="F18" s="32">
        <f>'Template Tim'!I32</f>
        <v>1000</v>
      </c>
      <c r="G18" s="33">
        <f t="shared" si="0"/>
        <v>10000</v>
      </c>
      <c r="H18" s="29" t="s">
        <v>258</v>
      </c>
      <c r="I18" s="29" t="s">
        <v>259</v>
      </c>
      <c r="J18" s="34" t="s">
        <v>267</v>
      </c>
      <c r="K18" s="34" t="s">
        <v>298</v>
      </c>
    </row>
    <row r="19" spans="1:11" x14ac:dyDescent="0.35">
      <c r="A19" s="29">
        <v>18</v>
      </c>
      <c r="B19" s="29" t="s">
        <v>267</v>
      </c>
      <c r="C19" s="30" t="str">
        <f>'Template Tim'!C33</f>
        <v>Kapasitor filter 100 nF</v>
      </c>
      <c r="D19" s="31">
        <f>'Template Tim'!G33</f>
        <v>2</v>
      </c>
      <c r="E19" s="31" t="str">
        <f>'Template Tim'!H33</f>
        <v>pcs</v>
      </c>
      <c r="F19" s="32">
        <f>'Template Tim'!I33</f>
        <v>1500</v>
      </c>
      <c r="G19" s="33">
        <f t="shared" si="0"/>
        <v>3000</v>
      </c>
      <c r="H19" s="35" t="s">
        <v>265</v>
      </c>
      <c r="I19" s="29" t="s">
        <v>259</v>
      </c>
      <c r="J19" s="34" t="s">
        <v>299</v>
      </c>
      <c r="K19" s="34"/>
    </row>
    <row r="20" spans="1:11" x14ac:dyDescent="0.35">
      <c r="A20" s="29">
        <v>19</v>
      </c>
      <c r="B20" s="29" t="s">
        <v>267</v>
      </c>
      <c r="C20" s="30" t="str">
        <f>'Template Tim'!C34</f>
        <v>Elco 1000 µF/16 V</v>
      </c>
      <c r="D20" s="31">
        <f>'Template Tim'!G34</f>
        <v>1</v>
      </c>
      <c r="E20" s="31" t="str">
        <f>'Template Tim'!H34</f>
        <v>pcs</v>
      </c>
      <c r="F20" s="32">
        <f>'Template Tim'!I34</f>
        <v>2000</v>
      </c>
      <c r="G20" s="33">
        <f t="shared" si="0"/>
        <v>2000</v>
      </c>
      <c r="H20" s="35" t="s">
        <v>265</v>
      </c>
      <c r="I20" s="35" t="s">
        <v>295</v>
      </c>
      <c r="J20" s="34" t="s">
        <v>267</v>
      </c>
      <c r="K20" s="34" t="s">
        <v>300</v>
      </c>
    </row>
    <row r="21" spans="1:11" x14ac:dyDescent="0.35">
      <c r="A21" s="29">
        <v>20</v>
      </c>
      <c r="B21" s="29" t="s">
        <v>301</v>
      </c>
      <c r="C21" s="30" t="str">
        <f>'Template Tim'!C35</f>
        <v>RCBO 1P+N</v>
      </c>
      <c r="D21" s="31">
        <f>'Template Tim'!G35</f>
        <v>1</v>
      </c>
      <c r="E21" s="31" t="str">
        <f>'Template Tim'!H35</f>
        <v>pcs</v>
      </c>
      <c r="F21" s="32">
        <f>'Template Tim'!I35</f>
        <v>110000</v>
      </c>
      <c r="G21" s="33">
        <f t="shared" si="0"/>
        <v>110000</v>
      </c>
      <c r="H21" s="29" t="s">
        <v>258</v>
      </c>
      <c r="I21" s="29" t="s">
        <v>259</v>
      </c>
      <c r="J21" s="34" t="s">
        <v>289</v>
      </c>
      <c r="K21" s="34"/>
    </row>
    <row r="22" spans="1:11" x14ac:dyDescent="0.35">
      <c r="A22" s="29">
        <v>21</v>
      </c>
      <c r="B22" s="29" t="s">
        <v>302</v>
      </c>
      <c r="C22" s="30" t="str">
        <f>'Template Tim'!C36</f>
        <v>MCB 1P beban</v>
      </c>
      <c r="D22" s="31">
        <f>'Template Tim'!G36</f>
        <v>1</v>
      </c>
      <c r="E22" s="31" t="str">
        <f>'Template Tim'!H36</f>
        <v>pcs</v>
      </c>
      <c r="F22" s="32">
        <f>'Template Tim'!I36</f>
        <v>45000</v>
      </c>
      <c r="G22" s="33">
        <f t="shared" si="0"/>
        <v>45000</v>
      </c>
      <c r="H22" s="35" t="s">
        <v>265</v>
      </c>
      <c r="I22" s="29" t="s">
        <v>259</v>
      </c>
      <c r="J22" s="34" t="s">
        <v>272</v>
      </c>
      <c r="K22" s="34"/>
    </row>
    <row r="23" spans="1:11" x14ac:dyDescent="0.35">
      <c r="A23" s="29">
        <v>22</v>
      </c>
      <c r="B23" s="29" t="s">
        <v>303</v>
      </c>
      <c r="C23" s="30" t="str">
        <f>'Template Tim'!C37</f>
        <v>Rumah sekring DIN</v>
      </c>
      <c r="D23" s="31">
        <f>'Template Tim'!G37</f>
        <v>4</v>
      </c>
      <c r="E23" s="31" t="str">
        <f>'Template Tim'!H37</f>
        <v>pcs</v>
      </c>
      <c r="F23" s="32">
        <f>'Template Tim'!I37</f>
        <v>20000</v>
      </c>
      <c r="G23" s="33">
        <f t="shared" si="0"/>
        <v>80000</v>
      </c>
      <c r="H23" s="29" t="s">
        <v>258</v>
      </c>
      <c r="I23" s="29" t="s">
        <v>259</v>
      </c>
      <c r="J23" s="34" t="s">
        <v>289</v>
      </c>
      <c r="K23" s="34" t="s">
        <v>304</v>
      </c>
    </row>
    <row r="24" spans="1:11" ht="23" x14ac:dyDescent="0.35">
      <c r="A24" s="29">
        <v>23</v>
      </c>
      <c r="B24" s="29" t="s">
        <v>267</v>
      </c>
      <c r="C24" s="30" t="str">
        <f>'Template Tim'!C38</f>
        <v>Sekring tabung 10×38 mm</v>
      </c>
      <c r="D24" s="31">
        <f>'Template Tim'!G38</f>
        <v>10</v>
      </c>
      <c r="E24" s="31" t="str">
        <f>'Template Tim'!H38</f>
        <v>pcs</v>
      </c>
      <c r="F24" s="32">
        <f>'Template Tim'!I38</f>
        <v>4000</v>
      </c>
      <c r="G24" s="33">
        <f t="shared" si="0"/>
        <v>40000</v>
      </c>
      <c r="H24" s="29" t="s">
        <v>258</v>
      </c>
      <c r="I24" s="29" t="s">
        <v>259</v>
      </c>
      <c r="J24" s="34" t="s">
        <v>267</v>
      </c>
      <c r="K24" s="34" t="s">
        <v>305</v>
      </c>
    </row>
    <row r="25" spans="1:11" ht="23" x14ac:dyDescent="0.35">
      <c r="A25" s="29">
        <v>24</v>
      </c>
      <c r="B25" s="29" t="s">
        <v>306</v>
      </c>
      <c r="C25" s="30" t="str">
        <f>'Template Tim'!C39</f>
        <v>Tombol darurat (emergency stop)</v>
      </c>
      <c r="D25" s="31">
        <f>'Template Tim'!G39</f>
        <v>1</v>
      </c>
      <c r="E25" s="31" t="str">
        <f>'Template Tim'!H39</f>
        <v>pcs</v>
      </c>
      <c r="F25" s="32">
        <f>'Template Tim'!I39</f>
        <v>20000</v>
      </c>
      <c r="G25" s="33">
        <f t="shared" si="0"/>
        <v>20000</v>
      </c>
      <c r="H25" s="29" t="s">
        <v>258</v>
      </c>
      <c r="I25" s="29" t="s">
        <v>259</v>
      </c>
      <c r="J25" s="34" t="s">
        <v>307</v>
      </c>
      <c r="K25" s="34"/>
    </row>
    <row r="26" spans="1:11" x14ac:dyDescent="0.35">
      <c r="A26" s="29">
        <v>25</v>
      </c>
      <c r="B26" s="29" t="s">
        <v>308</v>
      </c>
      <c r="C26" s="30" t="str">
        <f>'Template Tim'!C40</f>
        <v>Lampu pilot hijau</v>
      </c>
      <c r="D26" s="31">
        <f>'Template Tim'!G40</f>
        <v>3</v>
      </c>
      <c r="E26" s="31" t="str">
        <f>'Template Tim'!H40</f>
        <v>pcs</v>
      </c>
      <c r="F26" s="32">
        <f>'Template Tim'!I40</f>
        <v>7000</v>
      </c>
      <c r="G26" s="33">
        <f t="shared" si="0"/>
        <v>21000</v>
      </c>
      <c r="H26" s="29" t="s">
        <v>258</v>
      </c>
      <c r="I26" s="29" t="s">
        <v>259</v>
      </c>
      <c r="J26" s="34" t="s">
        <v>309</v>
      </c>
      <c r="K26" s="34" t="s">
        <v>310</v>
      </c>
    </row>
    <row r="27" spans="1:11" x14ac:dyDescent="0.35">
      <c r="A27" s="29">
        <v>26</v>
      </c>
      <c r="B27" s="29" t="s">
        <v>267</v>
      </c>
      <c r="C27" s="30" t="str">
        <f>'Template Tim'!C41</f>
        <v>Box panel besi</v>
      </c>
      <c r="D27" s="31">
        <f>'Template Tim'!G41</f>
        <v>1</v>
      </c>
      <c r="E27" s="31" t="str">
        <f>'Template Tim'!H41</f>
        <v>unit</v>
      </c>
      <c r="F27" s="32">
        <f>'Template Tim'!I41</f>
        <v>155000</v>
      </c>
      <c r="G27" s="33">
        <f t="shared" si="0"/>
        <v>155000</v>
      </c>
      <c r="H27" s="29" t="s">
        <v>258</v>
      </c>
      <c r="I27" s="29" t="s">
        <v>259</v>
      </c>
      <c r="J27" s="34" t="s">
        <v>311</v>
      </c>
      <c r="K27" s="34"/>
    </row>
    <row r="28" spans="1:11" x14ac:dyDescent="0.35">
      <c r="A28" s="29">
        <v>27</v>
      </c>
      <c r="B28" s="29" t="s">
        <v>267</v>
      </c>
      <c r="C28" s="30" t="str">
        <f>'Template Tim'!C42</f>
        <v>Rel DIN</v>
      </c>
      <c r="D28" s="31">
        <f>'Template Tim'!G42</f>
        <v>1</v>
      </c>
      <c r="E28" s="31" t="str">
        <f>'Template Tim'!H42</f>
        <v>batang</v>
      </c>
      <c r="F28" s="32">
        <f>'Template Tim'!I42</f>
        <v>18000</v>
      </c>
      <c r="G28" s="33">
        <f t="shared" si="0"/>
        <v>18000</v>
      </c>
      <c r="H28" s="29" t="s">
        <v>258</v>
      </c>
      <c r="I28" s="29" t="s">
        <v>259</v>
      </c>
      <c r="J28" s="34" t="s">
        <v>272</v>
      </c>
      <c r="K28" s="34"/>
    </row>
    <row r="29" spans="1:11" x14ac:dyDescent="0.35">
      <c r="A29" s="29">
        <v>28</v>
      </c>
      <c r="B29" s="29" t="s">
        <v>312</v>
      </c>
      <c r="C29" s="30" t="str">
        <f>'Template Tim'!C43</f>
        <v>Terminal blok DIN</v>
      </c>
      <c r="D29" s="31">
        <f>'Template Tim'!G43</f>
        <v>1</v>
      </c>
      <c r="E29" s="31" t="str">
        <f>'Template Tim'!H43</f>
        <v>set</v>
      </c>
      <c r="F29" s="32">
        <f>'Template Tim'!I43</f>
        <v>35000</v>
      </c>
      <c r="G29" s="33">
        <f t="shared" si="0"/>
        <v>35000</v>
      </c>
      <c r="H29" s="29" t="s">
        <v>258</v>
      </c>
      <c r="I29" s="29" t="s">
        <v>259</v>
      </c>
      <c r="J29" s="34" t="s">
        <v>272</v>
      </c>
      <c r="K29" s="34" t="s">
        <v>313</v>
      </c>
    </row>
    <row r="30" spans="1:11" x14ac:dyDescent="0.35">
      <c r="A30" s="29">
        <v>29</v>
      </c>
      <c r="B30" s="29" t="s">
        <v>314</v>
      </c>
      <c r="C30" s="30" t="str">
        <f>'Template Tim'!C44</f>
        <v>Terminal barrier 6 jalur</v>
      </c>
      <c r="D30" s="31">
        <f>'Template Tim'!G44</f>
        <v>1</v>
      </c>
      <c r="E30" s="31" t="str">
        <f>'Template Tim'!H44</f>
        <v>pcs</v>
      </c>
      <c r="F30" s="32">
        <f>'Template Tim'!I44</f>
        <v>10000</v>
      </c>
      <c r="G30" s="33">
        <f t="shared" si="0"/>
        <v>10000</v>
      </c>
      <c r="H30" s="35" t="s">
        <v>265</v>
      </c>
      <c r="I30" s="29" t="s">
        <v>259</v>
      </c>
      <c r="J30" s="34" t="s">
        <v>289</v>
      </c>
      <c r="K30" s="34"/>
    </row>
    <row r="31" spans="1:11" x14ac:dyDescent="0.35">
      <c r="A31" s="29">
        <v>30</v>
      </c>
      <c r="B31" s="29" t="s">
        <v>267</v>
      </c>
      <c r="C31" s="30" t="str">
        <f>'Template Tim'!C45</f>
        <v>Kabel panel NYAF</v>
      </c>
      <c r="D31" s="31">
        <f>'Template Tim'!G45</f>
        <v>30</v>
      </c>
      <c r="E31" s="31" t="str">
        <f>'Template Tim'!H45</f>
        <v>meter</v>
      </c>
      <c r="F31" s="32">
        <f>'Template Tim'!I45</f>
        <v>4000</v>
      </c>
      <c r="G31" s="33">
        <f t="shared" si="0"/>
        <v>120000</v>
      </c>
      <c r="H31" s="35" t="s">
        <v>265</v>
      </c>
      <c r="I31" s="29" t="s">
        <v>259</v>
      </c>
      <c r="J31" s="34" t="s">
        <v>315</v>
      </c>
      <c r="K31" s="34"/>
    </row>
    <row r="32" spans="1:11" x14ac:dyDescent="0.35">
      <c r="A32" s="29">
        <v>31</v>
      </c>
      <c r="B32" s="29" t="s">
        <v>267</v>
      </c>
      <c r="C32" s="30" t="str">
        <f>'Template Tim'!C46</f>
        <v>Kabel sumber + steker</v>
      </c>
      <c r="D32" s="31">
        <f>'Template Tim'!G46</f>
        <v>1</v>
      </c>
      <c r="E32" s="31" t="str">
        <f>'Template Tim'!H46</f>
        <v>set</v>
      </c>
      <c r="F32" s="32">
        <f>'Template Tim'!I46</f>
        <v>45000</v>
      </c>
      <c r="G32" s="33">
        <f t="shared" si="0"/>
        <v>45000</v>
      </c>
      <c r="H32" s="35" t="s">
        <v>265</v>
      </c>
      <c r="I32" s="29" t="s">
        <v>259</v>
      </c>
      <c r="J32" s="34" t="s">
        <v>316</v>
      </c>
      <c r="K32" s="34"/>
    </row>
    <row r="33" spans="1:11" x14ac:dyDescent="0.35">
      <c r="A33" s="29">
        <v>32</v>
      </c>
      <c r="B33" s="29" t="s">
        <v>267</v>
      </c>
      <c r="C33" s="30" t="str">
        <f>'Template Tim'!C47</f>
        <v>Kabel papan beban</v>
      </c>
      <c r="D33" s="31">
        <f>'Template Tim'!G47</f>
        <v>5</v>
      </c>
      <c r="E33" s="31" t="str">
        <f>'Template Tim'!H47</f>
        <v>meter</v>
      </c>
      <c r="F33" s="32">
        <f>'Template Tim'!I47</f>
        <v>8000</v>
      </c>
      <c r="G33" s="33">
        <f t="shared" si="0"/>
        <v>40000</v>
      </c>
      <c r="H33" s="35" t="s">
        <v>265</v>
      </c>
      <c r="I33" s="29" t="s">
        <v>259</v>
      </c>
      <c r="J33" s="34" t="s">
        <v>317</v>
      </c>
      <c r="K33" s="34"/>
    </row>
    <row r="34" spans="1:11" x14ac:dyDescent="0.35">
      <c r="A34" s="29">
        <v>33</v>
      </c>
      <c r="B34" s="29" t="s">
        <v>267</v>
      </c>
      <c r="C34" s="30" t="str">
        <f>'Template Tim'!C48</f>
        <v>Kabel jumper dupont</v>
      </c>
      <c r="D34" s="31">
        <f>'Template Tim'!G48</f>
        <v>1</v>
      </c>
      <c r="E34" s="31" t="str">
        <f>'Template Tim'!H48</f>
        <v>set</v>
      </c>
      <c r="F34" s="32">
        <f>'Template Tim'!I48</f>
        <v>15000</v>
      </c>
      <c r="G34" s="33">
        <f t="shared" si="0"/>
        <v>15000</v>
      </c>
      <c r="H34" s="35" t="s">
        <v>265</v>
      </c>
      <c r="I34" s="29" t="s">
        <v>259</v>
      </c>
      <c r="J34" s="34" t="s">
        <v>272</v>
      </c>
      <c r="K34" s="34"/>
    </row>
    <row r="35" spans="1:11" x14ac:dyDescent="0.35">
      <c r="A35" s="29">
        <v>34</v>
      </c>
      <c r="B35" s="29" t="s">
        <v>267</v>
      </c>
      <c r="C35" s="30" t="str">
        <f>'Template Tim'!C49</f>
        <v>Kabel komunikasi RS485</v>
      </c>
      <c r="D35" s="31">
        <f>'Template Tim'!G49</f>
        <v>2</v>
      </c>
      <c r="E35" s="31" t="str">
        <f>'Template Tim'!H49</f>
        <v>meter</v>
      </c>
      <c r="F35" s="32">
        <f>'Template Tim'!I49</f>
        <v>5000</v>
      </c>
      <c r="G35" s="33">
        <f t="shared" si="0"/>
        <v>10000</v>
      </c>
      <c r="H35" s="36" t="s">
        <v>270</v>
      </c>
      <c r="I35" s="29" t="s">
        <v>271</v>
      </c>
      <c r="J35" s="34" t="s">
        <v>272</v>
      </c>
      <c r="K35" s="34" t="s">
        <v>282</v>
      </c>
    </row>
    <row r="36" spans="1:11" x14ac:dyDescent="0.35">
      <c r="A36" s="29">
        <v>35</v>
      </c>
      <c r="B36" s="29" t="s">
        <v>267</v>
      </c>
      <c r="C36" s="30" t="str">
        <f>'Template Tim'!C50</f>
        <v>PCB lubang (perforated board)</v>
      </c>
      <c r="D36" s="31">
        <f>'Template Tim'!G50</f>
        <v>1</v>
      </c>
      <c r="E36" s="31" t="str">
        <f>'Template Tim'!H50</f>
        <v>lembar</v>
      </c>
      <c r="F36" s="32">
        <f>'Template Tim'!I50</f>
        <v>10000</v>
      </c>
      <c r="G36" s="33">
        <f t="shared" si="0"/>
        <v>10000</v>
      </c>
      <c r="H36" s="35" t="s">
        <v>265</v>
      </c>
      <c r="I36" s="29" t="s">
        <v>259</v>
      </c>
      <c r="J36" s="34" t="s">
        <v>318</v>
      </c>
      <c r="K36" s="34"/>
    </row>
    <row r="37" spans="1:11" x14ac:dyDescent="0.35">
      <c r="A37" s="29">
        <v>36</v>
      </c>
      <c r="B37" s="29" t="s">
        <v>267</v>
      </c>
      <c r="C37" s="30" t="str">
        <f>'Template Tim'!C51</f>
        <v>Spacer nylon M3 + baut + mur</v>
      </c>
      <c r="D37" s="31">
        <f>'Template Tim'!G51</f>
        <v>1</v>
      </c>
      <c r="E37" s="31" t="str">
        <f>'Template Tim'!H51</f>
        <v>set</v>
      </c>
      <c r="F37" s="32">
        <f>'Template Tim'!I51</f>
        <v>20000</v>
      </c>
      <c r="G37" s="33">
        <f t="shared" si="0"/>
        <v>20000</v>
      </c>
      <c r="H37" s="35" t="s">
        <v>265</v>
      </c>
      <c r="I37" s="29" t="s">
        <v>259</v>
      </c>
      <c r="J37" s="34" t="s">
        <v>319</v>
      </c>
      <c r="K37" s="34"/>
    </row>
    <row r="38" spans="1:11" x14ac:dyDescent="0.35">
      <c r="A38" s="29">
        <v>37</v>
      </c>
      <c r="B38" s="29" t="s">
        <v>267</v>
      </c>
      <c r="C38" s="30" t="str">
        <f>'Template Tim'!C52</f>
        <v>Aksesoris pengawatan</v>
      </c>
      <c r="D38" s="31">
        <f>'Template Tim'!G52</f>
        <v>1</v>
      </c>
      <c r="E38" s="31" t="str">
        <f>'Template Tim'!H52</f>
        <v>paket</v>
      </c>
      <c r="F38" s="32">
        <f>'Template Tim'!I52</f>
        <v>30000</v>
      </c>
      <c r="G38" s="33">
        <f t="shared" si="0"/>
        <v>30000</v>
      </c>
      <c r="H38" s="35" t="s">
        <v>265</v>
      </c>
      <c r="I38" s="29" t="s">
        <v>259</v>
      </c>
      <c r="J38" s="34" t="s">
        <v>315</v>
      </c>
      <c r="K38" s="34"/>
    </row>
    <row r="39" spans="1:11" x14ac:dyDescent="0.35">
      <c r="A39" s="29">
        <v>38</v>
      </c>
      <c r="B39" s="29" t="s">
        <v>267</v>
      </c>
      <c r="C39" s="30" t="str">
        <f>'Template Tim'!C53</f>
        <v>Mata bor / step drill</v>
      </c>
      <c r="D39" s="31">
        <f>'Template Tim'!G53</f>
        <v>1</v>
      </c>
      <c r="E39" s="31" t="str">
        <f>'Template Tim'!H53</f>
        <v>pcs</v>
      </c>
      <c r="F39" s="32">
        <f>'Template Tim'!I53</f>
        <v>35000</v>
      </c>
      <c r="G39" s="33">
        <f t="shared" si="0"/>
        <v>35000</v>
      </c>
      <c r="H39" s="35" t="s">
        <v>265</v>
      </c>
      <c r="I39" s="35" t="s">
        <v>320</v>
      </c>
      <c r="J39" s="34" t="s">
        <v>267</v>
      </c>
      <c r="K39" s="34"/>
    </row>
    <row r="40" spans="1:11" x14ac:dyDescent="0.35">
      <c r="A40" s="29">
        <v>39</v>
      </c>
      <c r="B40" s="29" t="s">
        <v>321</v>
      </c>
      <c r="C40" s="30" t="str">
        <f>'Template Tim'!C54</f>
        <v>Lampu TL lengkap</v>
      </c>
      <c r="D40" s="31">
        <f>'Template Tim'!G54</f>
        <v>2</v>
      </c>
      <c r="E40" s="31" t="str">
        <f>'Template Tim'!H54</f>
        <v>set</v>
      </c>
      <c r="F40" s="32">
        <f>'Template Tim'!I54</f>
        <v>70000</v>
      </c>
      <c r="G40" s="33">
        <f t="shared" si="0"/>
        <v>140000</v>
      </c>
      <c r="H40" s="29" t="s">
        <v>258</v>
      </c>
      <c r="I40" s="29" t="s">
        <v>259</v>
      </c>
      <c r="J40" s="34" t="s">
        <v>322</v>
      </c>
      <c r="K40" s="34" t="s">
        <v>323</v>
      </c>
    </row>
    <row r="41" spans="1:11" x14ac:dyDescent="0.35">
      <c r="A41" s="29">
        <v>40</v>
      </c>
      <c r="B41" s="29" t="s">
        <v>324</v>
      </c>
      <c r="C41" s="30" t="str">
        <f>'Template Tim'!C55</f>
        <v>Saklar ganda outbow</v>
      </c>
      <c r="D41" s="31">
        <f>'Template Tim'!G55</f>
        <v>1</v>
      </c>
      <c r="E41" s="31" t="str">
        <f>'Template Tim'!H55</f>
        <v>pcs</v>
      </c>
      <c r="F41" s="32">
        <f>'Template Tim'!I55</f>
        <v>25000</v>
      </c>
      <c r="G41" s="33">
        <f t="shared" si="0"/>
        <v>25000</v>
      </c>
      <c r="H41" s="35" t="s">
        <v>265</v>
      </c>
      <c r="I41" s="29" t="s">
        <v>259</v>
      </c>
      <c r="J41" s="34" t="s">
        <v>317</v>
      </c>
      <c r="K41" s="34"/>
    </row>
    <row r="42" spans="1:11" x14ac:dyDescent="0.35">
      <c r="A42" s="29">
        <v>41</v>
      </c>
      <c r="B42" s="29" t="s">
        <v>325</v>
      </c>
      <c r="C42" s="30" t="str">
        <f>'Template Tim'!C56</f>
        <v>Stopkontak outbow ber-arde</v>
      </c>
      <c r="D42" s="31">
        <f>'Template Tim'!G56</f>
        <v>2</v>
      </c>
      <c r="E42" s="31" t="str">
        <f>'Template Tim'!H56</f>
        <v>pcs</v>
      </c>
      <c r="F42" s="32">
        <f>'Template Tim'!I56</f>
        <v>20000</v>
      </c>
      <c r="G42" s="33">
        <f t="shared" si="0"/>
        <v>40000</v>
      </c>
      <c r="H42" s="35" t="s">
        <v>265</v>
      </c>
      <c r="I42" s="29" t="s">
        <v>259</v>
      </c>
      <c r="J42" s="34" t="s">
        <v>317</v>
      </c>
      <c r="K42" s="34" t="s">
        <v>326</v>
      </c>
    </row>
    <row r="43" spans="1:11" x14ac:dyDescent="0.35">
      <c r="A43" s="29">
        <v>42</v>
      </c>
      <c r="B43" s="29" t="s">
        <v>267</v>
      </c>
      <c r="C43" s="30" t="str">
        <f>'Template Tim'!C57</f>
        <v>Papan dudukan beban</v>
      </c>
      <c r="D43" s="31">
        <f>'Template Tim'!G57</f>
        <v>1</v>
      </c>
      <c r="E43" s="31" t="str">
        <f>'Template Tim'!H57</f>
        <v>lembar</v>
      </c>
      <c r="F43" s="32">
        <f>'Template Tim'!I57</f>
        <v>60000</v>
      </c>
      <c r="G43" s="33">
        <f t="shared" si="0"/>
        <v>60000</v>
      </c>
      <c r="H43" s="35" t="s">
        <v>265</v>
      </c>
      <c r="I43" s="29" t="s">
        <v>259</v>
      </c>
      <c r="J43" s="34" t="s">
        <v>327</v>
      </c>
      <c r="K43" s="34"/>
    </row>
    <row r="44" spans="1:11" x14ac:dyDescent="0.35">
      <c r="A44" s="29">
        <v>43</v>
      </c>
      <c r="B44" s="29" t="s">
        <v>267</v>
      </c>
      <c r="C44" s="30" t="str">
        <f>'Template Tim'!C58</f>
        <v>Rangka besi siku</v>
      </c>
      <c r="D44" s="31">
        <f>'Template Tim'!G58</f>
        <v>1</v>
      </c>
      <c r="E44" s="31" t="str">
        <f>'Template Tim'!H58</f>
        <v>set</v>
      </c>
      <c r="F44" s="32">
        <f>'Template Tim'!I58</f>
        <v>120000</v>
      </c>
      <c r="G44" s="33">
        <f t="shared" si="0"/>
        <v>120000</v>
      </c>
      <c r="H44" s="35" t="s">
        <v>265</v>
      </c>
      <c r="I44" s="29" t="s">
        <v>259</v>
      </c>
      <c r="J44" s="34" t="s">
        <v>327</v>
      </c>
      <c r="K44" s="34"/>
    </row>
    <row r="45" spans="1:11" ht="23" x14ac:dyDescent="0.35">
      <c r="A45" s="29">
        <v>44</v>
      </c>
      <c r="B45" s="29" t="s">
        <v>267</v>
      </c>
      <c r="C45" s="30" t="str">
        <f>'Template Tim'!C59</f>
        <v>Multimeter digital</v>
      </c>
      <c r="D45" s="31">
        <f>'Template Tim'!G59</f>
        <v>1</v>
      </c>
      <c r="E45" s="31" t="str">
        <f>'Template Tim'!H59</f>
        <v>unit</v>
      </c>
      <c r="F45" s="32">
        <f>'Template Tim'!I59</f>
        <v>150000</v>
      </c>
      <c r="G45" s="33">
        <f t="shared" si="0"/>
        <v>150000</v>
      </c>
      <c r="H45" s="36" t="s">
        <v>270</v>
      </c>
      <c r="I45" s="29" t="s">
        <v>271</v>
      </c>
      <c r="J45" s="34" t="s">
        <v>267</v>
      </c>
      <c r="K45" s="34" t="s">
        <v>328</v>
      </c>
    </row>
    <row r="46" spans="1:11" x14ac:dyDescent="0.35">
      <c r="C46" s="13" t="s">
        <v>329</v>
      </c>
      <c r="G46" s="37">
        <f>SUM(G2:G45)</f>
        <v>2552097</v>
      </c>
    </row>
    <row r="47" spans="1:11" x14ac:dyDescent="0.35">
      <c r="C47" s="38" t="s">
        <v>330</v>
      </c>
      <c r="G47" s="39">
        <f>SUMIF(H2:H45,"Nota",G2:G45)</f>
        <v>1346847</v>
      </c>
    </row>
    <row r="48" spans="1:11" x14ac:dyDescent="0.35">
      <c r="C48" s="38" t="s">
        <v>331</v>
      </c>
      <c r="G48" s="40">
        <f>SUMIF(H2:H45,"Estimasi",G2:G45)</f>
        <v>820250</v>
      </c>
    </row>
    <row r="49" spans="1:7" x14ac:dyDescent="0.35">
      <c r="C49" s="38" t="s">
        <v>332</v>
      </c>
      <c r="G49" s="41">
        <f>SUMIF(H2:H45,"Referensi",G2:G45)</f>
        <v>385000</v>
      </c>
    </row>
    <row r="51" spans="1:7" x14ac:dyDescent="0.35">
      <c r="A51" s="28" t="s">
        <v>333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7"/>
  <sheetViews>
    <sheetView zoomScaleNormal="100" workbookViewId="0"/>
  </sheetViews>
  <sheetFormatPr defaultColWidth="8.6328125" defaultRowHeight="14.5" x14ac:dyDescent="0.35"/>
  <cols>
    <col min="1" max="1" width="5" customWidth="1"/>
    <col min="2" max="2" width="46" customWidth="1"/>
    <col min="3" max="3" width="16" customWidth="1"/>
    <col min="4" max="4" width="62" customWidth="1"/>
    <col min="5" max="5" width="40" customWidth="1"/>
  </cols>
  <sheetData>
    <row r="1" spans="1:5" x14ac:dyDescent="0.35">
      <c r="A1" s="16" t="s">
        <v>24</v>
      </c>
      <c r="B1" s="16" t="s">
        <v>334</v>
      </c>
      <c r="C1" s="16" t="s">
        <v>249</v>
      </c>
      <c r="D1" s="16" t="s">
        <v>335</v>
      </c>
      <c r="E1" s="16" t="s">
        <v>336</v>
      </c>
    </row>
    <row r="2" spans="1:5" x14ac:dyDescent="0.35">
      <c r="A2" s="34">
        <v>1</v>
      </c>
      <c r="B2" s="34" t="s">
        <v>337</v>
      </c>
      <c r="C2" s="34" t="s">
        <v>338</v>
      </c>
      <c r="D2" s="34" t="s">
        <v>339</v>
      </c>
      <c r="E2" s="34" t="s">
        <v>267</v>
      </c>
    </row>
    <row r="3" spans="1:5" x14ac:dyDescent="0.35">
      <c r="A3" s="34">
        <v>2</v>
      </c>
      <c r="B3" s="34" t="s">
        <v>340</v>
      </c>
      <c r="C3" s="34" t="s">
        <v>341</v>
      </c>
      <c r="D3" s="34" t="s">
        <v>342</v>
      </c>
      <c r="E3" s="34" t="s">
        <v>343</v>
      </c>
    </row>
    <row r="4" spans="1:5" x14ac:dyDescent="0.35">
      <c r="A4" s="34">
        <v>3</v>
      </c>
      <c r="B4" s="34" t="s">
        <v>344</v>
      </c>
      <c r="C4" s="34" t="s">
        <v>345</v>
      </c>
      <c r="D4" s="34" t="s">
        <v>346</v>
      </c>
      <c r="E4" s="34" t="s">
        <v>347</v>
      </c>
    </row>
    <row r="5" spans="1:5" x14ac:dyDescent="0.35">
      <c r="A5" s="34">
        <v>4</v>
      </c>
      <c r="B5" s="34" t="s">
        <v>348</v>
      </c>
      <c r="C5" s="34" t="s">
        <v>345</v>
      </c>
      <c r="D5" s="34" t="s">
        <v>349</v>
      </c>
      <c r="E5" s="34" t="s">
        <v>350</v>
      </c>
    </row>
    <row r="6" spans="1:5" ht="23" x14ac:dyDescent="0.35">
      <c r="A6" s="34">
        <v>5</v>
      </c>
      <c r="B6" s="34" t="s">
        <v>351</v>
      </c>
      <c r="C6" s="34" t="s">
        <v>267</v>
      </c>
      <c r="D6" s="34" t="s">
        <v>352</v>
      </c>
      <c r="E6" s="34" t="s">
        <v>353</v>
      </c>
    </row>
    <row r="7" spans="1:5" x14ac:dyDescent="0.35">
      <c r="A7" s="34">
        <v>6</v>
      </c>
      <c r="B7" s="34" t="s">
        <v>354</v>
      </c>
      <c r="C7" s="34" t="s">
        <v>338</v>
      </c>
      <c r="D7" s="34" t="s">
        <v>355</v>
      </c>
      <c r="E7" s="34" t="s">
        <v>353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8"/>
  <sheetViews>
    <sheetView zoomScaleNormal="100" workbookViewId="0"/>
  </sheetViews>
  <sheetFormatPr defaultColWidth="8.6328125" defaultRowHeight="14.5" x14ac:dyDescent="0.35"/>
  <cols>
    <col min="1" max="1" width="110" customWidth="1"/>
  </cols>
  <sheetData>
    <row r="1" spans="1:1" x14ac:dyDescent="0.35">
      <c r="A1" s="42" t="s">
        <v>356</v>
      </c>
    </row>
    <row r="2" spans="1:1" x14ac:dyDescent="0.35">
      <c r="A2" s="43" t="s">
        <v>357</v>
      </c>
    </row>
    <row r="3" spans="1:1" x14ac:dyDescent="0.35">
      <c r="A3" s="43" t="s">
        <v>358</v>
      </c>
    </row>
    <row r="4" spans="1:1" x14ac:dyDescent="0.35">
      <c r="A4" s="43" t="s">
        <v>359</v>
      </c>
    </row>
    <row r="5" spans="1:1" x14ac:dyDescent="0.35">
      <c r="A5" s="43" t="s">
        <v>360</v>
      </c>
    </row>
    <row r="6" spans="1:1" ht="23" x14ac:dyDescent="0.35">
      <c r="A6" s="43" t="s">
        <v>361</v>
      </c>
    </row>
    <row r="7" spans="1:1" x14ac:dyDescent="0.35">
      <c r="A7" s="43" t="s">
        <v>362</v>
      </c>
    </row>
    <row r="8" spans="1:1" ht="23" x14ac:dyDescent="0.35">
      <c r="A8" s="43" t="s">
        <v>363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 Tim</vt:lpstr>
      <vt:lpstr>Rincian &amp; Bukti</vt:lpstr>
      <vt:lpstr>Tidak Diajukan</vt:lpstr>
      <vt:lpstr>Petunjuk Salin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Marcel Suandi Tambing S T</cp:lastModifiedBy>
  <cp:revision>0</cp:revision>
  <dcterms:created xsi:type="dcterms:W3CDTF">2026-10-18T16:33:36Z</dcterms:created>
  <dcterms:modified xsi:type="dcterms:W3CDTF">2026-10-18T17:19:17Z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2026-10-18T17:19:16Z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579b0d52-5a01-4c96-ad7c-f790468812ba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